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cger\OneDrive\Desktop\python_files\UTSA PythonSQLPBi\Completed\New_Wheels\"/>
    </mc:Choice>
  </mc:AlternateContent>
  <xr:revisionPtr revIDLastSave="0" documentId="13_ncr:1_{7DA0B30F-BD1D-4804-8DD0-F11A36C945E2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New_Wheels_Tables" sheetId="2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3" i="23" l="1"/>
  <c r="D272" i="23"/>
  <c r="D271" i="23"/>
  <c r="D270" i="23"/>
  <c r="D269" i="23"/>
  <c r="D268" i="23"/>
  <c r="D267" i="23"/>
  <c r="D266" i="23"/>
  <c r="D265" i="23"/>
  <c r="D264" i="23"/>
  <c r="D263" i="23"/>
  <c r="D262" i="23"/>
  <c r="D261" i="23"/>
  <c r="D260" i="23"/>
  <c r="D259" i="23"/>
  <c r="D258" i="23"/>
  <c r="E206" i="23"/>
  <c r="E205" i="23"/>
  <c r="E204" i="23"/>
  <c r="E203" i="23"/>
  <c r="E199" i="23"/>
  <c r="C199" i="23"/>
  <c r="L188" i="23"/>
  <c r="L187" i="23"/>
  <c r="L186" i="23"/>
  <c r="L185" i="23"/>
  <c r="L184" i="23"/>
  <c r="L183" i="23"/>
  <c r="L182" i="23"/>
  <c r="L181" i="23"/>
  <c r="L180" i="23"/>
  <c r="L179" i="23"/>
  <c r="L178" i="23"/>
  <c r="L177" i="23"/>
  <c r="L176" i="23"/>
  <c r="L175" i="23"/>
  <c r="L174" i="23"/>
  <c r="L173" i="23"/>
  <c r="L172" i="23"/>
  <c r="L171" i="23"/>
  <c r="L170" i="23"/>
  <c r="L169" i="23"/>
  <c r="L168" i="23"/>
  <c r="L167" i="23"/>
  <c r="L166" i="23"/>
  <c r="L165" i="23"/>
  <c r="L164" i="23"/>
  <c r="L163" i="23"/>
  <c r="L162" i="23"/>
  <c r="L161" i="23"/>
  <c r="L160" i="23"/>
  <c r="L159" i="23"/>
  <c r="L158" i="23"/>
  <c r="L157" i="23"/>
  <c r="L156" i="23"/>
  <c r="L155" i="23"/>
  <c r="L154" i="23"/>
  <c r="L153" i="23"/>
  <c r="L152" i="23"/>
  <c r="L151" i="23"/>
  <c r="L150" i="23"/>
  <c r="L149" i="23"/>
  <c r="L148" i="23"/>
  <c r="L147" i="23"/>
  <c r="L146" i="23"/>
  <c r="L145" i="23"/>
  <c r="L144" i="23"/>
  <c r="G84" i="23"/>
  <c r="C71" i="23"/>
</calcChain>
</file>

<file path=xl/sharedStrings.xml><?xml version="1.0" encoding="utf-8"?>
<sst xmlns="http://schemas.openxmlformats.org/spreadsheetml/2006/main" count="388" uniqueCount="168">
  <si>
    <t>quarter_number</t>
  </si>
  <si>
    <t>Vermont</t>
  </si>
  <si>
    <t>Washington</t>
  </si>
  <si>
    <t>Georgia</t>
  </si>
  <si>
    <t>Oklahoma</t>
  </si>
  <si>
    <t>Utah</t>
  </si>
  <si>
    <t>Arizona</t>
  </si>
  <si>
    <t>Connecticut</t>
  </si>
  <si>
    <t>Oregon</t>
  </si>
  <si>
    <t>New York</t>
  </si>
  <si>
    <t>Florida</t>
  </si>
  <si>
    <t>District of Columbia</t>
  </si>
  <si>
    <t>Alabama</t>
  </si>
  <si>
    <t>Nebraska</t>
  </si>
  <si>
    <t>Illinois</t>
  </si>
  <si>
    <t>Idaho</t>
  </si>
  <si>
    <t>Texas</t>
  </si>
  <si>
    <t>Tennessee</t>
  </si>
  <si>
    <t>Missouri</t>
  </si>
  <si>
    <t>New Mexico</t>
  </si>
  <si>
    <t>California</t>
  </si>
  <si>
    <t>Nevada</t>
  </si>
  <si>
    <t>Pennsylvania</t>
  </si>
  <si>
    <t>Indiana</t>
  </si>
  <si>
    <t>Minnesota</t>
  </si>
  <si>
    <t>Wisconsin</t>
  </si>
  <si>
    <t>Kentucky</t>
  </si>
  <si>
    <t>Hawaii</t>
  </si>
  <si>
    <t>Montana</t>
  </si>
  <si>
    <t>Iowa</t>
  </si>
  <si>
    <t>West Virginia</t>
  </si>
  <si>
    <t>Ohio</t>
  </si>
  <si>
    <t>North Carolina</t>
  </si>
  <si>
    <t>Colorado</t>
  </si>
  <si>
    <t>Virginia</t>
  </si>
  <si>
    <t>Alaska</t>
  </si>
  <si>
    <t>Kansas</t>
  </si>
  <si>
    <t>Louisiana</t>
  </si>
  <si>
    <t>New Jersey</t>
  </si>
  <si>
    <t>Massachusetts</t>
  </si>
  <si>
    <t>Michigan</t>
  </si>
  <si>
    <t>Delaware</t>
  </si>
  <si>
    <t>Maryland</t>
  </si>
  <si>
    <t>North Dakota</t>
  </si>
  <si>
    <t>Wyoming</t>
  </si>
  <si>
    <t>South Carolina</t>
  </si>
  <si>
    <t>Mississippi</t>
  </si>
  <si>
    <t>Arkansas</t>
  </si>
  <si>
    <t>New Hampshire</t>
  </si>
  <si>
    <t>Maine</t>
  </si>
  <si>
    <t>credit_card_type</t>
  </si>
  <si>
    <t>state</t>
  </si>
  <si>
    <t>total_pct</t>
  </si>
  <si>
    <t>count(state)</t>
  </si>
  <si>
    <t>avg(rating_no) over (partition by quarter_number)</t>
  </si>
  <si>
    <t xml:space="preserve"> </t>
  </si>
  <si>
    <t>Dodge</t>
  </si>
  <si>
    <t>Pontiac</t>
  </si>
  <si>
    <t>Toyota</t>
  </si>
  <si>
    <t>Ford</t>
  </si>
  <si>
    <t>Chevrolet</t>
  </si>
  <si>
    <t>maker_ct</t>
  </si>
  <si>
    <t>vehicle_maker</t>
  </si>
  <si>
    <t>Nissan</t>
  </si>
  <si>
    <t>Mazda</t>
  </si>
  <si>
    <t>Cadillac</t>
  </si>
  <si>
    <t>BMW</t>
  </si>
  <si>
    <t>Audi</t>
  </si>
  <si>
    <t>Mercedes-Benz</t>
  </si>
  <si>
    <t>Maserati</t>
  </si>
  <si>
    <t>GMC</t>
  </si>
  <si>
    <t>Mitsubishi</t>
  </si>
  <si>
    <t>Kia</t>
  </si>
  <si>
    <t>Ferrari</t>
  </si>
  <si>
    <t>Mercury</t>
  </si>
  <si>
    <t>Hyundai</t>
  </si>
  <si>
    <t>Volvo</t>
  </si>
  <si>
    <t>count(order_id) over (partition by quarter_number)</t>
  </si>
  <si>
    <t>NULL</t>
  </si>
  <si>
    <t>chg_pct</t>
  </si>
  <si>
    <t>avg_disc</t>
  </si>
  <si>
    <t>American Express</t>
  </si>
  <si>
    <t>Bankcard</t>
  </si>
  <si>
    <t>China Unionpay</t>
  </si>
  <si>
    <t>Diners Club Carte Blanche</t>
  </si>
  <si>
    <t>Diners Club Enroute</t>
  </si>
  <si>
    <t>Diners Club International</t>
  </si>
  <si>
    <t>Diners Club US CA</t>
  </si>
  <si>
    <t>Instapayment</t>
  </si>
  <si>
    <t>JCB</t>
  </si>
  <si>
    <t>Laser</t>
  </si>
  <si>
    <t>Maestro</t>
  </si>
  <si>
    <t>Mastercard</t>
  </si>
  <si>
    <t>Solo</t>
  </si>
  <si>
    <t>Switch</t>
  </si>
  <si>
    <t>Visa</t>
  </si>
  <si>
    <t>Visa electronic</t>
  </si>
  <si>
    <t>Avg No of Days Until Delivery</t>
  </si>
  <si>
    <t xml:space="preserve">Year Average </t>
  </si>
  <si>
    <t>Avg</t>
  </si>
  <si>
    <t>total orders</t>
  </si>
  <si>
    <t>Total Yearly Revenue</t>
  </si>
  <si>
    <t>total_order</t>
  </si>
  <si>
    <t>Vehicles_Sold</t>
  </si>
  <si>
    <t>Q6_Orders_by_Quarter</t>
  </si>
  <si>
    <t>Total Vehicles</t>
  </si>
  <si>
    <t>quarter</t>
  </si>
  <si>
    <t>Orders</t>
  </si>
  <si>
    <t>Vehicles</t>
  </si>
  <si>
    <t>%Multiple Cars Bought</t>
  </si>
  <si>
    <t>Merged Tables</t>
  </si>
  <si>
    <t>Q1</t>
  </si>
  <si>
    <t>Q2</t>
  </si>
  <si>
    <t>Q3</t>
  </si>
  <si>
    <t>1 Very Bad</t>
  </si>
  <si>
    <t>2 Bad</t>
  </si>
  <si>
    <t>3 Okay</t>
  </si>
  <si>
    <t>4 Good</t>
  </si>
  <si>
    <t>5 Very Good</t>
  </si>
  <si>
    <t>Sum of Satisfaction Ratio</t>
  </si>
  <si>
    <t>Column Labels</t>
  </si>
  <si>
    <t>Grand Total</t>
  </si>
  <si>
    <t>Q4</t>
  </si>
  <si>
    <t>Q5</t>
  </si>
  <si>
    <t>state_brand_ct</t>
  </si>
  <si>
    <t>state_cust</t>
  </si>
  <si>
    <t>state_rank</t>
  </si>
  <si>
    <t>Q6</t>
  </si>
  <si>
    <t>Column1</t>
  </si>
  <si>
    <t>Column2</t>
  </si>
  <si>
    <t>***</t>
  </si>
  <si>
    <t>tot_orders</t>
  </si>
  <si>
    <t>current_qtr</t>
  </si>
  <si>
    <t>prev_qtr</t>
  </si>
  <si>
    <t>pct_chg</t>
  </si>
  <si>
    <t>Q7</t>
  </si>
  <si>
    <t>tot_price_in_Mill</t>
  </si>
  <si>
    <t>prev_price_in_Mill</t>
  </si>
  <si>
    <t>chg over yr</t>
  </si>
  <si>
    <t>Q8</t>
  </si>
  <si>
    <t>qtr_orders</t>
  </si>
  <si>
    <t>prev_orders</t>
  </si>
  <si>
    <t>order_chg_pct</t>
  </si>
  <si>
    <t>qtr_revenue</t>
  </si>
  <si>
    <t>Rev in 100K</t>
  </si>
  <si>
    <t>prev_rev</t>
  </si>
  <si>
    <t>revenue_chg_pct</t>
  </si>
  <si>
    <t>Q9</t>
  </si>
  <si>
    <t>Q10</t>
  </si>
  <si>
    <t>Sum of sat_ct</t>
  </si>
  <si>
    <t>Row Labels</t>
  </si>
  <si>
    <t>1</t>
  </si>
  <si>
    <t>2</t>
  </si>
  <si>
    <t>3</t>
  </si>
  <si>
    <t>4</t>
  </si>
  <si>
    <t>(these are the pivot tables made from the 1000 line chart I pulled from SQL.)</t>
  </si>
  <si>
    <t>New Wheels Data</t>
  </si>
  <si>
    <t>Bethany Gerlach</t>
  </si>
  <si>
    <t>/*Q1. Find the distribution of customers across the United States:*/</t>
  </si>
  <si>
    <t>/*Q2. Average rating in each quarter:*/</t>
  </si>
  <si>
    <t>/*Q3. How does customer satisfaction change over time?*/</t>
  </si>
  <si>
    <t>/*Q4. Which are the top 5 vehicle makers preferred by customers?*/</t>
  </si>
  <si>
    <t>/*Q5. What is the preferred vehicle make in each state?*/</t>
  </si>
  <si>
    <t>/*Q6. What is the trend of number of orders by quarters?*/</t>
  </si>
  <si>
    <t>/*Q7. What is the quarter over quarter % change in revenue?*/</t>
  </si>
  <si>
    <t>/*Q8. What is the trend of revenue and orders by quarters?*/</t>
  </si>
  <si>
    <t>/*Q9. What is the average discount offered for different types of credit cards?*/</t>
  </si>
  <si>
    <t>/*Q10. What is the average time taken to ship the placed orders for each quarters?*/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</si>
</sst>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0.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theme="4" tint="0.399975585192419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0" fontId="18" fillId="0" borderId="0" xfId="0" applyFont="1" applyAlignment="1">
      <alignment horizontal="center" wrapText="1"/>
    </xf>
    <xf numFmtId="0" fontId="19" fillId="0" borderId="0" xfId="0" applyFont="1"/>
    <xf numFmtId="0" fontId="20" fillId="0" borderId="0" xfId="0" applyFont="1"/>
    <xf numFmtId="0" fontId="18" fillId="0" borderId="0" xfId="0" applyFont="1"/>
    <xf numFmtId="0" fontId="18" fillId="35" borderId="0" xfId="0" applyFont="1" applyFill="1"/>
    <xf numFmtId="0" fontId="21" fillId="34" borderId="10" xfId="0" applyFont="1" applyFill="1" applyBorder="1"/>
    <xf numFmtId="0" fontId="21" fillId="34" borderId="14" xfId="0" applyFont="1" applyFill="1" applyBorder="1"/>
    <xf numFmtId="0" fontId="21" fillId="34" borderId="11" xfId="0" applyFont="1" applyFill="1" applyBorder="1"/>
    <xf numFmtId="0" fontId="18" fillId="33" borderId="10" xfId="0" applyFont="1" applyFill="1" applyBorder="1"/>
    <xf numFmtId="0" fontId="18" fillId="33" borderId="14" xfId="0" applyFont="1" applyFill="1" applyBorder="1"/>
    <xf numFmtId="0" fontId="18" fillId="33" borderId="11" xfId="0" applyFont="1" applyFill="1" applyBorder="1"/>
    <xf numFmtId="0" fontId="18" fillId="0" borderId="10" xfId="0" applyFont="1" applyBorder="1"/>
    <xf numFmtId="0" fontId="18" fillId="0" borderId="14" xfId="0" applyFont="1" applyBorder="1"/>
    <xf numFmtId="0" fontId="18" fillId="0" borderId="11" xfId="0" applyFont="1" applyBorder="1"/>
    <xf numFmtId="165" fontId="18" fillId="0" borderId="0" xfId="0" applyNumberFormat="1" applyFont="1"/>
    <xf numFmtId="0" fontId="21" fillId="34" borderId="10" xfId="0" applyFont="1" applyFill="1" applyBorder="1" applyAlignment="1">
      <alignment horizontal="center"/>
    </xf>
    <xf numFmtId="0" fontId="21" fillId="34" borderId="14" xfId="0" applyFont="1" applyFill="1" applyBorder="1" applyAlignment="1">
      <alignment horizontal="center"/>
    </xf>
    <xf numFmtId="0" fontId="18" fillId="33" borderId="10" xfId="0" applyFont="1" applyFill="1" applyBorder="1" applyAlignment="1">
      <alignment horizontal="center"/>
    </xf>
    <xf numFmtId="0" fontId="18" fillId="33" borderId="14" xfId="0" applyFont="1" applyFill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8" fillId="0" borderId="14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33" borderId="11" xfId="0" applyFont="1" applyFill="1" applyBorder="1" applyAlignment="1">
      <alignment horizontal="center"/>
    </xf>
    <xf numFmtId="2" fontId="18" fillId="0" borderId="0" xfId="0" applyNumberFormat="1" applyFont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12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8" fillId="33" borderId="10" xfId="0" applyFont="1" applyFill="1" applyBorder="1" applyAlignment="1">
      <alignment horizontal="right"/>
    </xf>
    <xf numFmtId="164" fontId="18" fillId="33" borderId="11" xfId="0" applyNumberFormat="1" applyFont="1" applyFill="1" applyBorder="1"/>
    <xf numFmtId="0" fontId="18" fillId="0" borderId="10" xfId="0" applyFont="1" applyBorder="1" applyAlignment="1">
      <alignment horizontal="right"/>
    </xf>
    <xf numFmtId="164" fontId="18" fillId="0" borderId="11" xfId="0" applyNumberFormat="1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5" formatCode="0.000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D411C26D-A827-4A97-BC0C-20598FFD816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323850</xdr:colOff>
      <xdr:row>57</xdr:row>
      <xdr:rowOff>152401</xdr:rowOff>
    </xdr:from>
    <xdr:to>
      <xdr:col>12</xdr:col>
      <xdr:colOff>173060</xdr:colOff>
      <xdr:row>71</xdr:row>
      <xdr:rowOff>106716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3F3956F-548A-7B9D-ADCB-4BA7A24FB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62725" y="9312276"/>
          <a:ext cx="4837135" cy="2402240"/>
        </a:xfrm>
        <a:prstGeom prst="rect">
          <a:avLst/>
        </a:prstGeom>
        <a:solidFill>
          <a:schemeClr val="lt1"/>
        </a:solidFill>
      </xdr:spPr>
    </xdr:pic>
    <xdr:clientData/>
  </xdr:twoCellAnchor>
  <xdr:twoCellAnchor editAs="oneCell">
    <xdr:from>
      <xdr:col>7</xdr:col>
      <xdr:colOff>530225</xdr:colOff>
      <xdr:row>84</xdr:row>
      <xdr:rowOff>85725</xdr:rowOff>
    </xdr:from>
    <xdr:to>
      <xdr:col>12</xdr:col>
      <xdr:colOff>546081</xdr:colOff>
      <xdr:row>102</xdr:row>
      <xdr:rowOff>47626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C2EF149-FBCA-A1A0-AE1C-0C10A58A3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48475" y="13674725"/>
          <a:ext cx="4232256" cy="2813050"/>
        </a:xfrm>
        <a:prstGeom prst="rect">
          <a:avLst/>
        </a:prstGeom>
        <a:solidFill>
          <a:schemeClr val="lt1"/>
        </a:solidFill>
      </xdr:spPr>
    </xdr:pic>
    <xdr:clientData/>
  </xdr:twoCellAnchor>
  <xdr:twoCellAnchor editAs="oneCell">
    <xdr:from>
      <xdr:col>7</xdr:col>
      <xdr:colOff>777178</xdr:colOff>
      <xdr:row>107</xdr:row>
      <xdr:rowOff>73025</xdr:rowOff>
    </xdr:from>
    <xdr:to>
      <xdr:col>12</xdr:col>
      <xdr:colOff>469788</xdr:colOff>
      <xdr:row>120</xdr:row>
      <xdr:rowOff>126478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4AD43B9-95F2-FE5A-CFA8-816E452FA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95428" y="172650150"/>
          <a:ext cx="3918535" cy="2272777"/>
        </a:xfrm>
        <a:prstGeom prst="rect">
          <a:avLst/>
        </a:prstGeom>
      </xdr:spPr>
    </xdr:pic>
    <xdr:clientData/>
  </xdr:twoCellAnchor>
  <xdr:twoCellAnchor editAs="oneCell">
    <xdr:from>
      <xdr:col>6</xdr:col>
      <xdr:colOff>465531</xdr:colOff>
      <xdr:row>124</xdr:row>
      <xdr:rowOff>98426</xdr:rowOff>
    </xdr:from>
    <xdr:to>
      <xdr:col>12</xdr:col>
      <xdr:colOff>221373</xdr:colOff>
      <xdr:row>140</xdr:row>
      <xdr:rowOff>57150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866C9BC-C0DB-2692-5BD3-DFD26C07E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05906" y="20243801"/>
          <a:ext cx="4759642" cy="249872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180</xdr:row>
      <xdr:rowOff>0</xdr:rowOff>
    </xdr:from>
    <xdr:to>
      <xdr:col>4</xdr:col>
      <xdr:colOff>571618</xdr:colOff>
      <xdr:row>188</xdr:row>
      <xdr:rowOff>94622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EFC65E4-262A-052D-D79E-26DC23656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28825" y="205587600"/>
          <a:ext cx="2822693" cy="1542422"/>
        </a:xfrm>
        <a:prstGeom prst="rect">
          <a:avLst/>
        </a:prstGeom>
        <a:solidFill>
          <a:schemeClr val="lt1"/>
        </a:solidFill>
      </xdr:spPr>
    </xdr:pic>
    <xdr:clientData/>
  </xdr:twoCellAnchor>
  <xdr:twoCellAnchor>
    <xdr:from>
      <xdr:col>6</xdr:col>
      <xdr:colOff>139700</xdr:colOff>
      <xdr:row>181</xdr:row>
      <xdr:rowOff>139700</xdr:rowOff>
    </xdr:from>
    <xdr:to>
      <xdr:col>8</xdr:col>
      <xdr:colOff>0</xdr:colOff>
      <xdr:row>183</xdr:row>
      <xdr:rowOff>95250</xdr:rowOff>
    </xdr:to>
    <xdr:sp macro="" textlink="">
      <xdr:nvSpPr>
        <xdr:cNvPr id="18" name="Arrow: Left 17">
          <a:extLst>
            <a:ext uri="{FF2B5EF4-FFF2-40B4-BE49-F238E27FC236}">
              <a16:creationId xmlns:a16="http://schemas.microsoft.com/office/drawing/2014/main" id="{0708E9A8-C85A-DDF3-9113-1FE21BDA3F23}"/>
            </a:ext>
          </a:extLst>
        </xdr:cNvPr>
        <xdr:cNvSpPr/>
      </xdr:nvSpPr>
      <xdr:spPr>
        <a:xfrm>
          <a:off x="5680075" y="185273950"/>
          <a:ext cx="1479550" cy="30480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133</xdr:row>
      <xdr:rowOff>158749</xdr:rowOff>
    </xdr:from>
    <xdr:to>
      <xdr:col>8</xdr:col>
      <xdr:colOff>190500</xdr:colOff>
      <xdr:row>135</xdr:row>
      <xdr:rowOff>53974</xdr:rowOff>
    </xdr:to>
    <xdr:sp macro="" textlink="">
      <xdr:nvSpPr>
        <xdr:cNvPr id="19" name="Arrow: Left 18">
          <a:extLst>
            <a:ext uri="{FF2B5EF4-FFF2-40B4-BE49-F238E27FC236}">
              <a16:creationId xmlns:a16="http://schemas.microsoft.com/office/drawing/2014/main" id="{1661E95F-0236-47F8-AB06-1CF8DB982F10}"/>
            </a:ext>
          </a:extLst>
        </xdr:cNvPr>
        <xdr:cNvSpPr/>
      </xdr:nvSpPr>
      <xdr:spPr>
        <a:xfrm>
          <a:off x="6318250" y="177022124"/>
          <a:ext cx="968375" cy="21272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758825</xdr:colOff>
      <xdr:row>191</xdr:row>
      <xdr:rowOff>104775</xdr:rowOff>
    </xdr:from>
    <xdr:to>
      <xdr:col>12</xdr:col>
      <xdr:colOff>408077</xdr:colOff>
      <xdr:row>205</xdr:row>
      <xdr:rowOff>142860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CB00E338-0F0B-E838-AFF8-DCEF25654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alphaModFix/>
        </a:blip>
        <a:stretch>
          <a:fillRect/>
        </a:stretch>
      </xdr:blipFill>
      <xdr:spPr>
        <a:xfrm>
          <a:off x="6299200" y="186985275"/>
          <a:ext cx="4656227" cy="2660634"/>
        </a:xfrm>
        <a:prstGeom prst="rect">
          <a:avLst/>
        </a:prstGeom>
        <a:solidFill>
          <a:schemeClr val="lt1"/>
        </a:solidFill>
      </xdr:spPr>
    </xdr:pic>
    <xdr:clientData/>
  </xdr:twoCellAnchor>
  <xdr:twoCellAnchor editAs="oneCell">
    <xdr:from>
      <xdr:col>6</xdr:col>
      <xdr:colOff>682625</xdr:colOff>
      <xdr:row>215</xdr:row>
      <xdr:rowOff>6350</xdr:rowOff>
    </xdr:from>
    <xdr:to>
      <xdr:col>12</xdr:col>
      <xdr:colOff>408464</xdr:colOff>
      <xdr:row>230</xdr:row>
      <xdr:rowOff>123182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A5431A3-EE49-A5BA-5B76-FF768DFE0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23000" y="192649475"/>
          <a:ext cx="4726464" cy="2736207"/>
        </a:xfrm>
        <a:prstGeom prst="rect">
          <a:avLst/>
        </a:prstGeom>
        <a:solidFill>
          <a:schemeClr val="lt1"/>
        </a:solidFill>
      </xdr:spPr>
    </xdr:pic>
    <xdr:clientData/>
  </xdr:twoCellAnchor>
  <xdr:twoCellAnchor editAs="oneCell">
    <xdr:from>
      <xdr:col>7</xdr:col>
      <xdr:colOff>231921</xdr:colOff>
      <xdr:row>239</xdr:row>
      <xdr:rowOff>57150</xdr:rowOff>
    </xdr:from>
    <xdr:to>
      <xdr:col>12</xdr:col>
      <xdr:colOff>465546</xdr:colOff>
      <xdr:row>252</xdr:row>
      <xdr:rowOff>19051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076F07A-BEA7-22B4-A23B-82426A7D2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550171" y="40205025"/>
          <a:ext cx="4456375" cy="2232025"/>
        </a:xfrm>
        <a:prstGeom prst="rect">
          <a:avLst/>
        </a:prstGeom>
      </xdr:spPr>
    </xdr:pic>
    <xdr:clientData/>
  </xdr:twoCellAnchor>
  <xdr:twoCellAnchor editAs="oneCell">
    <xdr:from>
      <xdr:col>6</xdr:col>
      <xdr:colOff>536575</xdr:colOff>
      <xdr:row>255</xdr:row>
      <xdr:rowOff>12701</xdr:rowOff>
    </xdr:from>
    <xdr:to>
      <xdr:col>12</xdr:col>
      <xdr:colOff>492125</xdr:colOff>
      <xdr:row>271</xdr:row>
      <xdr:rowOff>173418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2CFF3B99-8C1A-3979-3720-EBD7C14A75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76950" y="42954576"/>
          <a:ext cx="4956175" cy="2954717"/>
        </a:xfrm>
        <a:prstGeom prst="rect">
          <a:avLst/>
        </a:prstGeom>
      </xdr:spPr>
    </xdr:pic>
    <xdr:clientData/>
  </xdr:twoCellAnchor>
  <xdr:twoCellAnchor editAs="oneCell">
    <xdr:from>
      <xdr:col>8</xdr:col>
      <xdr:colOff>47626</xdr:colOff>
      <xdr:row>275</xdr:row>
      <xdr:rowOff>104776</xdr:rowOff>
    </xdr:from>
    <xdr:to>
      <xdr:col>11</xdr:col>
      <xdr:colOff>177801</xdr:colOff>
      <xdr:row>289</xdr:row>
      <xdr:rowOff>142389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1909E790-0BD0-76B8-0020-2A3A97F1D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143751" y="203225401"/>
          <a:ext cx="2825750" cy="2485538"/>
        </a:xfrm>
        <a:prstGeom prst="rect">
          <a:avLst/>
        </a:prstGeom>
        <a:solidFill>
          <a:schemeClr val="lt1"/>
        </a:solidFill>
      </xdr:spPr>
    </xdr:pic>
    <xdr:clientData/>
  </xdr:twoCellAnchor>
  <xdr:twoCellAnchor editAs="oneCell">
    <xdr:from>
      <xdr:col>6</xdr:col>
      <xdr:colOff>342900</xdr:colOff>
      <xdr:row>3</xdr:row>
      <xdr:rowOff>168275</xdr:rowOff>
    </xdr:from>
    <xdr:to>
      <xdr:col>12</xdr:col>
      <xdr:colOff>231184</xdr:colOff>
      <xdr:row>22</xdr:row>
      <xdr:rowOff>68073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B7A42EFB-7118-7C4F-D121-DEE5D385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581775" y="692150"/>
          <a:ext cx="4888909" cy="2935098"/>
        </a:xfrm>
        <a:prstGeom prst="rect">
          <a:avLst/>
        </a:prstGeom>
        <a:solidFill>
          <a:schemeClr val="lt1"/>
        </a:solidFill>
      </xdr:spPr>
    </xdr:pic>
    <xdr:clientData/>
  </xdr:twoCellAnchor>
  <xdr:twoCellAnchor editAs="oneCell">
    <xdr:from>
      <xdr:col>6</xdr:col>
      <xdr:colOff>107950</xdr:colOff>
      <xdr:row>25</xdr:row>
      <xdr:rowOff>142875</xdr:rowOff>
    </xdr:from>
    <xdr:to>
      <xdr:col>12</xdr:col>
      <xdr:colOff>569561</xdr:colOff>
      <xdr:row>45</xdr:row>
      <xdr:rowOff>57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4A5EC371-9504-B08B-9D1C-89E0D3BEF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648325" y="4175125"/>
          <a:ext cx="5462236" cy="3026800"/>
        </a:xfrm>
        <a:prstGeom prst="rect">
          <a:avLst/>
        </a:prstGeom>
        <a:solidFill>
          <a:schemeClr val="lt1"/>
        </a:solidFill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89EE73-F16C-455F-AF42-3044F2B9761C}" name="Q2_Avg_Rating4" displayName="Q2_Avg_Rating4" ref="B66:C71" totalsRowShown="0" headerRowDxfId="75" dataDxfId="74">
  <autoFilter ref="B66:C71" xr:uid="{2089EE73-F16C-455F-AF42-3044F2B9761C}"/>
  <tableColumns count="2">
    <tableColumn id="1" xr3:uid="{B70FD07D-0CFE-41F7-8CAF-4798EE42A303}" name="quarter_number" dataDxfId="73"/>
    <tableColumn id="2" xr3:uid="{5675996F-F8B3-4985-87FF-6B50D9E51D1B}" name="avg(rating_no) over (partition by quarter_number)" dataDxfId="7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D98510-D397-4364-8796-87BA9D90589B}" name="Q1_Distribution" displayName="Q1_Distribution" ref="B5:D54" totalsRowShown="0" headerRowDxfId="71" dataDxfId="70">
  <autoFilter ref="B5:D54" xr:uid="{DFD98510-D397-4364-8796-87BA9D90589B}"/>
  <sortState xmlns:xlrd2="http://schemas.microsoft.com/office/spreadsheetml/2017/richdata2" ref="B6:D54">
    <sortCondition ref="B1:B50"/>
  </sortState>
  <tableColumns count="3">
    <tableColumn id="1" xr3:uid="{1D69DDDC-0F99-401D-B505-9982FC5E085F}" name="state" dataDxfId="69"/>
    <tableColumn id="2" xr3:uid="{B80B3935-7D20-4D8F-80A2-D351569231D2}" name="count(state)" dataDxfId="68"/>
    <tableColumn id="3" xr3:uid="{B15538F1-530C-44CD-A118-0901D2E65447}" name="total_pct" dataDxfId="6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46B9D1-E1F6-4154-AAFE-C51DD525D655}" name="Table7" displayName="Table7" ref="B78:H84" totalsRowCount="1" headerRowDxfId="66" dataDxfId="65" totalsRowDxfId="64">
  <autoFilter ref="B78:H83" xr:uid="{AD46B9D1-E1F6-4154-AAFE-C51DD525D655}"/>
  <tableColumns count="7">
    <tableColumn id="1" xr3:uid="{B5D78A03-A86D-4261-8B83-7A385F0019FF}" name=" " dataDxfId="63" totalsRowDxfId="62"/>
    <tableColumn id="2" xr3:uid="{8AC69B5A-A420-450E-8E2C-43CD91C78A86}" name="1 Very Bad" dataDxfId="61" totalsRowDxfId="60"/>
    <tableColumn id="3" xr3:uid="{84F64F06-9595-48E8-8757-380488B61C69}" name="2 Bad" dataDxfId="59" totalsRowDxfId="58"/>
    <tableColumn id="4" xr3:uid="{B1154E59-8CF7-4054-8088-63D03EECD70C}" name="3 Okay" dataDxfId="57" totalsRowDxfId="56"/>
    <tableColumn id="5" xr3:uid="{1D1784E5-9A69-4F3E-8915-4CA9F65AE831}" name="4 Good" dataDxfId="55" totalsRowDxfId="54"/>
    <tableColumn id="6" xr3:uid="{22E5E6EA-1523-4E45-A081-0BF314DBA1F2}" name="5 Very Good" totalsRowFunction="custom" dataDxfId="53" totalsRowDxfId="52">
      <totalsRowFormula>((G83+F83)/H83)</totalsRowFormula>
    </tableColumn>
    <tableColumn id="7" xr3:uid="{ACF8C5C8-975A-4047-A2B5-409924C29161}" name="Grand Total" dataDxfId="51" totalsRowDxfId="5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1500939-B8C1-4E75-899E-686E9C3159E7}" name="Table5" displayName="Table5" ref="B194:C198" totalsRowShown="0" headerRowDxfId="49" dataDxfId="48">
  <autoFilter ref="B194:C198" xr:uid="{81500939-B8C1-4E75-899E-686E9C3159E7}"/>
  <tableColumns count="2">
    <tableColumn id="1" xr3:uid="{9A430BC2-1C81-49C8-A884-7672F1652805}" name="quarter_number" dataDxfId="47"/>
    <tableColumn id="2" xr3:uid="{BFCB74C7-DDDC-4E9E-B594-DAEBD46AE613}" name="count(order_id) over (partition by quarter_number)" dataDxfId="4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BB2813-44BD-4205-B4FA-3339841E98C3}" name="Table6" displayName="Table6" ref="D194:E198" totalsRowShown="0" headerRowDxfId="45" dataDxfId="44">
  <autoFilter ref="D194:E198" xr:uid="{9CBB2813-44BD-4205-B4FA-3339841E98C3}"/>
  <tableColumns count="2">
    <tableColumn id="1" xr3:uid="{0E5B0E98-FD36-48C4-AA42-5087DBA83500}" name="quarter_number" dataDxfId="43"/>
    <tableColumn id="2" xr3:uid="{E33B5F7F-4F64-453B-AFB9-ECE3287434E5}" name="total_order" dataDxfId="42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1FE4B9-AA26-4FE3-991A-286A66FE1BFB}" name="Table8" displayName="Table8" ref="B202:E206" totalsRowShown="0" headerRowDxfId="41" dataDxfId="40">
  <autoFilter ref="B202:E206" xr:uid="{FD1FE4B9-AA26-4FE3-991A-286A66FE1BFB}"/>
  <tableColumns count="4">
    <tableColumn id="1" xr3:uid="{3310FCB0-6AC8-404D-8296-1248298049C3}" name="quarter" dataDxfId="39"/>
    <tableColumn id="2" xr3:uid="{6621AC68-CC74-40F5-8F3E-803AC8178CBE}" name="Orders" dataDxfId="38"/>
    <tableColumn id="3" xr3:uid="{58CF83DC-A289-46BC-B3A0-BD7B7F61CEFF}" name="Vehicles" dataDxfId="37"/>
    <tableColumn id="4" xr3:uid="{67AAD841-1228-4F25-9030-798FD3ECBE21}" name="%Multiple Cars Bought" dataDxfId="36">
      <calculatedColumnFormula>D203/C203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16E3BFB-27AC-43AC-8D12-7F1DCA01545F}" name="Table9" displayName="Table9" ref="B208:F212" totalsRowShown="0" headerRowDxfId="35" dataDxfId="34">
  <autoFilter ref="B208:F212" xr:uid="{016E3BFB-27AC-43AC-8D12-7F1DCA01545F}"/>
  <tableColumns count="5">
    <tableColumn id="1" xr3:uid="{FE5A6EA5-D8F8-4240-B7BC-63C9728C4F5A}" name="quarter_number" dataDxfId="33"/>
    <tableColumn id="2" xr3:uid="{7F535613-CD71-4D46-8C35-657C13D680D6}" name="tot_orders" dataDxfId="32"/>
    <tableColumn id="3" xr3:uid="{A2072897-6A7A-428E-AA4B-CC50092F3E01}" name="current_qtr" dataDxfId="31"/>
    <tableColumn id="4" xr3:uid="{63A38F91-0676-43C2-B6D1-AA3A7F9A06D9}" name="prev_qtr" dataDxfId="30"/>
    <tableColumn id="5" xr3:uid="{537EB4C9-A5AC-40E0-9856-9E8490AF5C6B}" name="pct_chg" dataDxfId="29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4DE8D55-A1EE-4772-9811-FDE553E3156B}" name="Table13" displayName="Table13" ref="B216:E220" totalsRowShown="0" headerRowDxfId="28" dataDxfId="27">
  <autoFilter ref="B216:E220" xr:uid="{B4DE8D55-A1EE-4772-9811-FDE553E3156B}"/>
  <tableColumns count="4">
    <tableColumn id="1" xr3:uid="{D1C327C9-C6DE-4926-8D9C-3A123DEAFA99}" name="quarter_number" dataDxfId="26"/>
    <tableColumn id="2" xr3:uid="{450D8F43-9330-4D3D-BC17-FD8AAD7E33C6}" name="tot_price_in_Mill" dataDxfId="25"/>
    <tableColumn id="3" xr3:uid="{C58FE88D-F8A2-403E-AE4B-D9B585A39AAD}" name="prev_price_in_Mill" dataDxfId="24"/>
    <tableColumn id="4" xr3:uid="{D2F0CD86-B342-4961-80FA-B261B50DC504}" name="chg_pct" dataDxfId="23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97A966A-4C63-4FAC-B1A7-F5F813DCD618}" name="Table20" displayName="Table20" ref="B234:I238" totalsRowShown="0" headerRowDxfId="22" dataDxfId="21">
  <autoFilter ref="B234:I238" xr:uid="{197A966A-4C63-4FAC-B1A7-F5F813DCD618}"/>
  <tableColumns count="8">
    <tableColumn id="1" xr3:uid="{DC7ECA4F-6F2E-4DD8-B68E-08D791DE38D4}" name="quarter_number" dataDxfId="20"/>
    <tableColumn id="2" xr3:uid="{CD62C703-4DEF-43F3-B0B6-E9F14BEA8F85}" name="qtr_orders" dataDxfId="19"/>
    <tableColumn id="3" xr3:uid="{5EF3F016-6794-4F26-A343-D7EA58EFAAFB}" name="prev_orders" dataDxfId="18"/>
    <tableColumn id="4" xr3:uid="{8C0FCDEF-FEDA-45C7-8A61-E4A10DFDD367}" name="order_chg_pct" dataDxfId="17"/>
    <tableColumn id="5" xr3:uid="{399804FD-3A55-46A2-A783-2C1F59C3AF27}" name="qtr_revenue" dataDxfId="16"/>
    <tableColumn id="6" xr3:uid="{15F56B79-4F4E-4E0D-97AD-EEEFF528D9C5}" name="Rev in 100K" dataDxfId="15"/>
    <tableColumn id="7" xr3:uid="{A591EAC7-3A0A-432C-AEE1-B1FE396AC1CA}" name="prev_rev" dataDxfId="14"/>
    <tableColumn id="8" xr3:uid="{4A651B25-834C-4B2B-80DA-F5C194F97D6A}" name="revenue_chg_pct" dataDxfId="13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4767BDD-3615-4A55-AE5A-F16694044EAA}" name="Table22" displayName="Table22" ref="B257:D273" totalsRowShown="0" headerRowDxfId="12" dataDxfId="11">
  <autoFilter ref="B257:D273" xr:uid="{94767BDD-3615-4A55-AE5A-F16694044EAA}"/>
  <tableColumns count="3">
    <tableColumn id="1" xr3:uid="{F430A2F5-497C-4FF7-B911-4E21EDAD3E7F}" name="credit_card_type" dataDxfId="10"/>
    <tableColumn id="2" xr3:uid="{D46E9C0C-E5A2-4DA7-A82E-842EC6159531}" name="avg_disc" dataDxfId="9"/>
    <tableColumn id="3" xr3:uid="{AD83FA23-800F-495C-A1A2-EFE3B174C6FD}" name="Column1" dataDxfId="8">
      <calculatedColumnFormula>IF(C258&lt;0.6019,"Under 6% is low",IF(C258&lt;0.62,"Between 6 &amp; 6.2% is average","Above 6.2% is high"))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273307A-4C4A-44C3-9330-E98882E79ADC}" name="Table23" displayName="Table23" ref="B88:G95" totalsRowShown="0" headerRowDxfId="7" dataDxfId="6">
  <autoFilter ref="B88:G95" xr:uid="{8273307A-4C4A-44C3-9330-E98882E79ADC}"/>
  <tableColumns count="6">
    <tableColumn id="1" xr3:uid="{1DE558A7-B57F-44CB-AFC0-0E6C94EEDF39}" name="Row Labels" dataDxfId="5"/>
    <tableColumn id="2" xr3:uid="{0AB82072-C0AB-4847-B7A1-459AC98CE037}" name="1" dataDxfId="4"/>
    <tableColumn id="3" xr3:uid="{C05C9DAB-8D18-466A-B94B-35AB18BCEE23}" name="2" dataDxfId="3"/>
    <tableColumn id="4" xr3:uid="{707A6E9F-0AC9-499B-A287-7E2020606221}" name="3" dataDxfId="2"/>
    <tableColumn id="5" xr3:uid="{4C2903AE-B423-4F56-9A99-E3D34F8851ED}" name="4" dataDxfId="1"/>
    <tableColumn id="6" xr3:uid="{78C08EC0-CF51-475C-B9F6-CCE05168F9EF}" name="Grand Total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1D1F-90EC-4073-800F-96296B704C12}">
  <dimension ref="A1:V282"/>
  <sheetViews>
    <sheetView tabSelected="1" topLeftCell="A201" zoomScale="118" zoomScaleNormal="118" workbookViewId="0">
      <selection activeCell="E278" sqref="E278"/>
    </sheetView>
  </sheetViews>
  <sheetFormatPr defaultRowHeight="14.5" x14ac:dyDescent="0.35"/>
  <cols>
    <col min="1" max="1" width="8.7265625" style="4"/>
    <col min="2" max="4" width="16.26953125" style="4" customWidth="1"/>
    <col min="5" max="8" width="11.1796875" style="4" customWidth="1"/>
    <col min="9" max="9" width="17.36328125" style="4" customWidth="1"/>
    <col min="10" max="13" width="10.6328125" style="4" customWidth="1"/>
  </cols>
  <sheetData>
    <row r="1" spans="1:13" x14ac:dyDescent="0.35">
      <c r="B1" s="4" t="s">
        <v>156</v>
      </c>
      <c r="C1" s="4" t="s">
        <v>157</v>
      </c>
    </row>
    <row r="4" spans="1:13" x14ac:dyDescent="0.35">
      <c r="A4" s="4" t="s">
        <v>111</v>
      </c>
      <c r="B4" s="4" t="s">
        <v>158</v>
      </c>
    </row>
    <row r="5" spans="1:13" s="3" customFormat="1" ht="12" x14ac:dyDescent="0.3">
      <c r="A5" s="4"/>
      <c r="B5" s="4" t="s">
        <v>51</v>
      </c>
      <c r="C5" s="4" t="s">
        <v>53</v>
      </c>
      <c r="D5" s="4" t="s">
        <v>52</v>
      </c>
      <c r="E5" s="4"/>
      <c r="F5" s="4"/>
      <c r="G5" s="4"/>
      <c r="H5" s="4"/>
      <c r="I5" s="4"/>
      <c r="J5" s="4"/>
      <c r="K5" s="4"/>
      <c r="L5" s="4"/>
      <c r="M5" s="4"/>
    </row>
    <row r="6" spans="1:13" s="3" customFormat="1" ht="12" x14ac:dyDescent="0.3">
      <c r="A6" s="4"/>
      <c r="B6" s="4" t="s">
        <v>12</v>
      </c>
      <c r="C6" s="4">
        <v>29</v>
      </c>
      <c r="D6" s="4">
        <v>2.9175</v>
      </c>
      <c r="E6" s="4"/>
      <c r="F6" s="4"/>
      <c r="G6" s="4"/>
      <c r="H6" s="4"/>
      <c r="I6" s="4"/>
      <c r="J6" s="4"/>
      <c r="K6" s="4"/>
      <c r="L6" s="4"/>
      <c r="M6" s="4"/>
    </row>
    <row r="7" spans="1:13" s="3" customFormat="1" ht="12" x14ac:dyDescent="0.3">
      <c r="A7" s="4"/>
      <c r="B7" s="4" t="s">
        <v>35</v>
      </c>
      <c r="C7" s="4">
        <v>10</v>
      </c>
      <c r="D7" s="4">
        <v>1.006</v>
      </c>
      <c r="E7" s="4"/>
      <c r="F7" s="4"/>
      <c r="G7" s="4"/>
      <c r="H7" s="4"/>
      <c r="I7" s="4"/>
      <c r="J7" s="4"/>
      <c r="K7" s="4"/>
      <c r="L7" s="4"/>
      <c r="M7" s="4"/>
    </row>
    <row r="8" spans="1:13" s="3" customFormat="1" ht="12" x14ac:dyDescent="0.3">
      <c r="A8" s="4"/>
      <c r="B8" s="4" t="s">
        <v>6</v>
      </c>
      <c r="C8" s="4">
        <v>26</v>
      </c>
      <c r="D8" s="4">
        <v>2.6156999999999999</v>
      </c>
      <c r="E8" s="4"/>
      <c r="F8" s="4"/>
      <c r="G8" s="4"/>
      <c r="H8" s="4"/>
      <c r="I8" s="4"/>
      <c r="J8" s="4"/>
      <c r="K8" s="4"/>
      <c r="L8" s="4"/>
      <c r="M8" s="4"/>
    </row>
    <row r="9" spans="1:13" s="3" customFormat="1" ht="12" x14ac:dyDescent="0.3">
      <c r="A9" s="4"/>
      <c r="B9" s="4" t="s">
        <v>47</v>
      </c>
      <c r="C9" s="4">
        <v>6</v>
      </c>
      <c r="D9" s="4">
        <v>0.60360000000000003</v>
      </c>
      <c r="E9" s="4"/>
      <c r="F9" s="4"/>
      <c r="G9" s="4"/>
      <c r="H9" s="4"/>
      <c r="I9" s="4"/>
      <c r="J9" s="4"/>
      <c r="K9" s="4"/>
      <c r="L9" s="4"/>
      <c r="M9" s="4"/>
    </row>
    <row r="10" spans="1:13" s="3" customFormat="1" ht="12" x14ac:dyDescent="0.3">
      <c r="A10" s="4"/>
      <c r="B10" s="4" t="s">
        <v>20</v>
      </c>
      <c r="C10" s="4">
        <v>97</v>
      </c>
      <c r="D10" s="4">
        <v>9.7585999999999995</v>
      </c>
      <c r="E10" s="4"/>
      <c r="F10" s="4"/>
      <c r="G10" s="4"/>
      <c r="H10" s="4"/>
      <c r="I10" s="4"/>
      <c r="J10" s="4"/>
      <c r="K10" s="4"/>
      <c r="L10" s="4"/>
      <c r="M10" s="4"/>
    </row>
    <row r="11" spans="1:13" s="3" customFormat="1" ht="12" x14ac:dyDescent="0.3">
      <c r="A11" s="4"/>
      <c r="B11" s="4" t="s">
        <v>33</v>
      </c>
      <c r="C11" s="4">
        <v>33</v>
      </c>
      <c r="D11" s="4">
        <v>3.3199000000000001</v>
      </c>
      <c r="E11" s="4"/>
      <c r="F11" s="4"/>
      <c r="G11" s="4"/>
      <c r="H11" s="4"/>
      <c r="I11" s="4"/>
      <c r="J11" s="4"/>
      <c r="K11" s="4"/>
      <c r="L11" s="4"/>
      <c r="M11" s="4"/>
    </row>
    <row r="12" spans="1:13" s="3" customFormat="1" ht="12" x14ac:dyDescent="0.3">
      <c r="A12" s="4"/>
      <c r="B12" s="4" t="s">
        <v>7</v>
      </c>
      <c r="C12" s="4">
        <v>22</v>
      </c>
      <c r="D12" s="4">
        <v>2.2132999999999998</v>
      </c>
      <c r="E12" s="4"/>
      <c r="F12" s="4"/>
      <c r="G12" s="4"/>
      <c r="H12" s="4"/>
      <c r="I12" s="4"/>
      <c r="J12" s="4"/>
      <c r="K12" s="4"/>
      <c r="L12" s="4"/>
      <c r="M12" s="4"/>
    </row>
    <row r="13" spans="1:13" s="3" customFormat="1" ht="12" x14ac:dyDescent="0.3">
      <c r="A13" s="4"/>
      <c r="B13" s="4" t="s">
        <v>41</v>
      </c>
      <c r="C13" s="4">
        <v>6</v>
      </c>
      <c r="D13" s="4">
        <v>0.60360000000000003</v>
      </c>
      <c r="E13" s="4"/>
      <c r="F13" s="4"/>
      <c r="G13" s="4"/>
      <c r="H13" s="4"/>
      <c r="I13" s="4"/>
      <c r="J13" s="4"/>
      <c r="K13" s="4"/>
      <c r="L13" s="4"/>
      <c r="M13" s="4"/>
    </row>
    <row r="14" spans="1:13" s="3" customFormat="1" ht="12" x14ac:dyDescent="0.3">
      <c r="A14" s="4"/>
      <c r="B14" s="4" t="s">
        <v>11</v>
      </c>
      <c r="C14" s="4">
        <v>35</v>
      </c>
      <c r="D14" s="4">
        <v>3.5211000000000001</v>
      </c>
      <c r="E14" s="4"/>
      <c r="F14" s="4"/>
      <c r="G14" s="4"/>
      <c r="H14" s="4"/>
      <c r="I14" s="4"/>
      <c r="J14" s="4"/>
      <c r="K14" s="4"/>
      <c r="L14" s="4"/>
      <c r="M14" s="4"/>
    </row>
    <row r="15" spans="1:13" s="3" customFormat="1" ht="12" x14ac:dyDescent="0.3">
      <c r="A15" s="4"/>
      <c r="B15" s="4" t="s">
        <v>10</v>
      </c>
      <c r="C15" s="4">
        <v>86</v>
      </c>
      <c r="D15" s="4">
        <v>8.6518999999999995</v>
      </c>
      <c r="E15" s="4"/>
      <c r="F15" s="4"/>
      <c r="G15" s="4"/>
      <c r="H15" s="4"/>
      <c r="I15" s="4"/>
      <c r="J15" s="4"/>
      <c r="K15" s="4"/>
      <c r="L15" s="4"/>
      <c r="M15" s="4"/>
    </row>
    <row r="16" spans="1:13" s="3" customFormat="1" ht="12" x14ac:dyDescent="0.3">
      <c r="A16" s="4"/>
      <c r="B16" s="4" t="s">
        <v>3</v>
      </c>
      <c r="C16" s="4">
        <v>18</v>
      </c>
      <c r="D16" s="4">
        <v>1.8109</v>
      </c>
      <c r="E16" s="4"/>
      <c r="F16" s="4"/>
      <c r="G16" s="4"/>
      <c r="H16" s="4"/>
      <c r="I16" s="4"/>
      <c r="J16" s="4"/>
      <c r="K16" s="4"/>
      <c r="L16" s="4"/>
      <c r="M16" s="4"/>
    </row>
    <row r="17" spans="1:13" s="3" customFormat="1" ht="12" x14ac:dyDescent="0.3">
      <c r="A17" s="4"/>
      <c r="B17" s="4" t="s">
        <v>27</v>
      </c>
      <c r="C17" s="4">
        <v>6</v>
      </c>
      <c r="D17" s="4">
        <v>0.60360000000000003</v>
      </c>
      <c r="E17" s="4"/>
      <c r="F17" s="4"/>
      <c r="G17" s="4"/>
      <c r="H17" s="4"/>
      <c r="I17" s="4"/>
      <c r="J17" s="4"/>
      <c r="K17" s="4"/>
      <c r="L17" s="4"/>
      <c r="M17" s="4"/>
    </row>
    <row r="18" spans="1:13" s="3" customFormat="1" ht="12" x14ac:dyDescent="0.3">
      <c r="A18" s="4"/>
      <c r="B18" s="4" t="s">
        <v>15</v>
      </c>
      <c r="C18" s="4">
        <v>7</v>
      </c>
      <c r="D18" s="4">
        <v>0.70420000000000005</v>
      </c>
      <c r="E18" s="4"/>
      <c r="F18" s="4"/>
      <c r="G18" s="4"/>
      <c r="H18" s="4"/>
      <c r="I18" s="4"/>
      <c r="J18" s="4"/>
      <c r="K18" s="4"/>
      <c r="L18" s="4"/>
      <c r="M18" s="4"/>
    </row>
    <row r="19" spans="1:13" s="3" customFormat="1" ht="12" x14ac:dyDescent="0.3">
      <c r="A19" s="4"/>
      <c r="B19" s="4" t="s">
        <v>14</v>
      </c>
      <c r="C19" s="4">
        <v>25</v>
      </c>
      <c r="D19" s="4">
        <v>2.5150999999999999</v>
      </c>
      <c r="E19" s="4"/>
      <c r="F19" s="4"/>
      <c r="G19" s="4"/>
      <c r="H19" s="4"/>
      <c r="I19" s="4"/>
      <c r="J19" s="4"/>
      <c r="K19" s="4"/>
      <c r="L19" s="4"/>
      <c r="M19" s="4"/>
    </row>
    <row r="20" spans="1:13" s="3" customFormat="1" ht="12" x14ac:dyDescent="0.3">
      <c r="A20" s="4"/>
      <c r="B20" s="4" t="s">
        <v>23</v>
      </c>
      <c r="C20" s="4">
        <v>21</v>
      </c>
      <c r="D20" s="4">
        <v>2.1126999999999998</v>
      </c>
      <c r="E20" s="4"/>
      <c r="F20" s="4"/>
      <c r="G20" s="4"/>
      <c r="H20" s="4"/>
      <c r="I20" s="4"/>
      <c r="J20" s="4"/>
      <c r="K20" s="4"/>
      <c r="L20" s="4"/>
      <c r="M20" s="4"/>
    </row>
    <row r="21" spans="1:13" s="3" customFormat="1" ht="12" x14ac:dyDescent="0.3">
      <c r="A21" s="4"/>
      <c r="B21" s="4" t="s">
        <v>29</v>
      </c>
      <c r="C21" s="4">
        <v>11</v>
      </c>
      <c r="D21" s="4">
        <v>1.1066</v>
      </c>
      <c r="E21" s="4"/>
      <c r="F21" s="4"/>
      <c r="G21" s="4"/>
      <c r="H21" s="4"/>
      <c r="I21" s="4"/>
      <c r="J21" s="4"/>
      <c r="K21" s="4"/>
      <c r="L21" s="4"/>
      <c r="M21" s="4"/>
    </row>
    <row r="22" spans="1:13" s="3" customFormat="1" ht="12" x14ac:dyDescent="0.3">
      <c r="A22" s="4"/>
      <c r="B22" s="4" t="s">
        <v>36</v>
      </c>
      <c r="C22" s="4">
        <v>13</v>
      </c>
      <c r="D22" s="4">
        <v>1.3078000000000001</v>
      </c>
      <c r="E22" s="4"/>
      <c r="F22" s="4"/>
      <c r="G22" s="4"/>
      <c r="H22" s="4"/>
      <c r="I22" s="4"/>
      <c r="J22" s="4"/>
      <c r="K22" s="4"/>
      <c r="L22" s="4"/>
      <c r="M22" s="4"/>
    </row>
    <row r="23" spans="1:13" s="3" customFormat="1" ht="12" x14ac:dyDescent="0.3">
      <c r="A23" s="4"/>
      <c r="B23" s="4" t="s">
        <v>26</v>
      </c>
      <c r="C23" s="4">
        <v>8</v>
      </c>
      <c r="D23" s="4">
        <v>0.80479999999999996</v>
      </c>
      <c r="E23" s="4"/>
      <c r="F23" s="4"/>
      <c r="G23" s="4"/>
      <c r="H23" s="4"/>
      <c r="I23" s="4"/>
      <c r="J23" s="4"/>
      <c r="K23" s="4"/>
      <c r="L23" s="4"/>
      <c r="M23" s="4"/>
    </row>
    <row r="24" spans="1:13" s="3" customFormat="1" ht="12" x14ac:dyDescent="0.3">
      <c r="A24" s="4"/>
      <c r="B24" s="4" t="s">
        <v>37</v>
      </c>
      <c r="C24" s="4">
        <v>20</v>
      </c>
      <c r="D24" s="4">
        <v>2.0121000000000002</v>
      </c>
      <c r="E24" s="4"/>
      <c r="F24" s="4"/>
      <c r="G24" s="4"/>
      <c r="H24" s="4"/>
      <c r="I24" s="4"/>
      <c r="J24" s="4"/>
      <c r="K24" s="4"/>
      <c r="L24" s="4"/>
      <c r="M24" s="4"/>
    </row>
    <row r="25" spans="1:13" s="3" customFormat="1" ht="12" x14ac:dyDescent="0.3">
      <c r="A25" s="4"/>
      <c r="B25" s="4" t="s">
        <v>49</v>
      </c>
      <c r="C25" s="4">
        <v>1</v>
      </c>
      <c r="D25" s="4">
        <v>0.10059999999999999</v>
      </c>
      <c r="E25" s="4"/>
      <c r="F25" s="4"/>
      <c r="G25" s="4"/>
      <c r="H25" s="4"/>
      <c r="I25" s="4"/>
      <c r="J25" s="4"/>
      <c r="K25" s="4"/>
      <c r="L25" s="4"/>
      <c r="M25" s="4"/>
    </row>
    <row r="26" spans="1:13" s="3" customFormat="1" ht="12" x14ac:dyDescent="0.3">
      <c r="A26" s="4"/>
      <c r="B26" s="4" t="s">
        <v>42</v>
      </c>
      <c r="C26" s="4">
        <v>14</v>
      </c>
      <c r="D26" s="4">
        <v>1.4085000000000001</v>
      </c>
      <c r="E26" s="4"/>
      <c r="F26" s="4"/>
      <c r="G26" s="4"/>
      <c r="H26" s="4"/>
      <c r="I26" s="4"/>
      <c r="J26" s="4"/>
      <c r="K26" s="4"/>
      <c r="L26" s="4"/>
      <c r="M26" s="4"/>
    </row>
    <row r="27" spans="1:13" s="3" customFormat="1" ht="12" x14ac:dyDescent="0.3">
      <c r="A27" s="4"/>
      <c r="B27" s="4" t="s">
        <v>39</v>
      </c>
      <c r="C27" s="4">
        <v>14</v>
      </c>
      <c r="D27" s="4">
        <v>1.4085000000000001</v>
      </c>
      <c r="E27" s="4"/>
      <c r="F27" s="4"/>
      <c r="G27" s="4"/>
      <c r="H27" s="4"/>
      <c r="I27" s="4"/>
      <c r="J27" s="4"/>
      <c r="K27" s="4"/>
      <c r="L27" s="4"/>
      <c r="M27" s="4"/>
    </row>
    <row r="28" spans="1:13" s="3" customFormat="1" ht="12" x14ac:dyDescent="0.3">
      <c r="A28" s="4"/>
      <c r="B28" s="4" t="s">
        <v>40</v>
      </c>
      <c r="C28" s="4">
        <v>17</v>
      </c>
      <c r="D28" s="4">
        <v>1.7102999999999999</v>
      </c>
      <c r="E28" s="4"/>
      <c r="F28" s="4"/>
      <c r="G28" s="4"/>
      <c r="H28" s="4"/>
      <c r="I28" s="4"/>
      <c r="J28" s="4"/>
      <c r="K28" s="4"/>
      <c r="L28" s="4"/>
      <c r="M28" s="4"/>
    </row>
    <row r="29" spans="1:13" s="3" customFormat="1" ht="12" x14ac:dyDescent="0.3">
      <c r="A29" s="4"/>
      <c r="B29" s="4" t="s">
        <v>24</v>
      </c>
      <c r="C29" s="4">
        <v>17</v>
      </c>
      <c r="D29" s="4">
        <v>1.7102999999999999</v>
      </c>
      <c r="E29" s="4"/>
      <c r="F29" s="4"/>
      <c r="G29" s="4"/>
      <c r="H29" s="4"/>
      <c r="I29" s="4"/>
      <c r="J29" s="4"/>
      <c r="K29" s="4"/>
      <c r="L29" s="4"/>
      <c r="M29" s="4"/>
    </row>
    <row r="30" spans="1:13" s="3" customFormat="1" ht="12" x14ac:dyDescent="0.3">
      <c r="A30" s="4"/>
      <c r="B30" s="4" t="s">
        <v>46</v>
      </c>
      <c r="C30" s="4">
        <v>2</v>
      </c>
      <c r="D30" s="4">
        <v>0.20119999999999999</v>
      </c>
      <c r="E30" s="4"/>
      <c r="F30" s="4"/>
      <c r="G30" s="4"/>
      <c r="H30" s="4"/>
      <c r="I30" s="4"/>
      <c r="J30" s="4"/>
      <c r="K30" s="4"/>
      <c r="L30" s="4"/>
      <c r="M30" s="4"/>
    </row>
    <row r="31" spans="1:13" s="3" customFormat="1" ht="12" x14ac:dyDescent="0.3">
      <c r="A31" s="4"/>
      <c r="B31" s="4" t="s">
        <v>18</v>
      </c>
      <c r="C31" s="4">
        <v>23</v>
      </c>
      <c r="D31" s="4">
        <v>2.3138999999999998</v>
      </c>
      <c r="E31" s="4"/>
      <c r="F31" s="4"/>
      <c r="G31" s="4"/>
      <c r="H31" s="4"/>
      <c r="I31" s="4"/>
      <c r="J31" s="4"/>
      <c r="K31" s="4"/>
      <c r="L31" s="4"/>
      <c r="M31" s="4"/>
    </row>
    <row r="32" spans="1:13" s="3" customFormat="1" ht="12" x14ac:dyDescent="0.3">
      <c r="A32" s="4"/>
      <c r="B32" s="4" t="s">
        <v>28</v>
      </c>
      <c r="C32" s="4">
        <v>3</v>
      </c>
      <c r="D32" s="4">
        <v>0.30180000000000001</v>
      </c>
      <c r="E32" s="4"/>
      <c r="F32" s="4"/>
      <c r="G32" s="4"/>
      <c r="H32" s="4"/>
      <c r="I32" s="4"/>
      <c r="J32" s="4"/>
      <c r="K32" s="4"/>
      <c r="L32" s="4"/>
      <c r="M32" s="4"/>
    </row>
    <row r="33" spans="1:13" s="3" customFormat="1" ht="12" x14ac:dyDescent="0.3">
      <c r="A33" s="4"/>
      <c r="B33" s="4" t="s">
        <v>13</v>
      </c>
      <c r="C33" s="4">
        <v>7</v>
      </c>
      <c r="D33" s="4">
        <v>0.70420000000000005</v>
      </c>
      <c r="E33" s="4"/>
      <c r="F33" s="4"/>
      <c r="G33" s="4"/>
      <c r="H33" s="4"/>
      <c r="I33" s="4"/>
      <c r="J33" s="4"/>
      <c r="K33" s="4"/>
      <c r="L33" s="4"/>
      <c r="M33" s="4"/>
    </row>
    <row r="34" spans="1:13" s="3" customFormat="1" ht="12" x14ac:dyDescent="0.3">
      <c r="A34" s="4"/>
      <c r="B34" s="4" t="s">
        <v>21</v>
      </c>
      <c r="C34" s="4">
        <v>17</v>
      </c>
      <c r="D34" s="4">
        <v>1.7102999999999999</v>
      </c>
      <c r="E34" s="4"/>
      <c r="F34" s="4"/>
      <c r="G34" s="4"/>
      <c r="H34" s="4"/>
      <c r="I34" s="4"/>
      <c r="J34" s="4"/>
      <c r="K34" s="4"/>
      <c r="L34" s="4"/>
      <c r="M34" s="4"/>
    </row>
    <row r="35" spans="1:13" s="3" customFormat="1" ht="12" x14ac:dyDescent="0.3">
      <c r="A35" s="4"/>
      <c r="B35" s="4" t="s">
        <v>48</v>
      </c>
      <c r="C35" s="4">
        <v>3</v>
      </c>
      <c r="D35" s="4">
        <v>0.30180000000000001</v>
      </c>
      <c r="E35" s="4"/>
      <c r="F35" s="4"/>
      <c r="G35" s="4"/>
      <c r="H35" s="4"/>
      <c r="I35" s="4"/>
      <c r="J35" s="4"/>
      <c r="K35" s="4"/>
      <c r="L35" s="4"/>
      <c r="M35" s="4"/>
    </row>
    <row r="36" spans="1:13" s="3" customFormat="1" ht="12" x14ac:dyDescent="0.3">
      <c r="A36" s="4"/>
      <c r="B36" s="4" t="s">
        <v>38</v>
      </c>
      <c r="C36" s="4">
        <v>9</v>
      </c>
      <c r="D36" s="4">
        <v>0.90539999999999998</v>
      </c>
      <c r="E36" s="4"/>
      <c r="F36" s="4"/>
      <c r="G36" s="4"/>
      <c r="H36" s="4"/>
      <c r="I36" s="4"/>
      <c r="J36" s="4"/>
      <c r="K36" s="4"/>
      <c r="L36" s="4"/>
      <c r="M36" s="4"/>
    </row>
    <row r="37" spans="1:13" s="3" customFormat="1" ht="12" x14ac:dyDescent="0.3">
      <c r="A37" s="4"/>
      <c r="B37" s="4" t="s">
        <v>19</v>
      </c>
      <c r="C37" s="4">
        <v>5</v>
      </c>
      <c r="D37" s="4">
        <v>0.503</v>
      </c>
      <c r="E37" s="4"/>
      <c r="F37" s="4"/>
      <c r="G37" s="4"/>
      <c r="H37" s="4"/>
      <c r="I37" s="4"/>
      <c r="J37" s="4"/>
      <c r="K37" s="4"/>
      <c r="L37" s="4"/>
      <c r="M37" s="4"/>
    </row>
    <row r="38" spans="1:13" s="3" customFormat="1" ht="12" x14ac:dyDescent="0.3">
      <c r="A38" s="4"/>
      <c r="B38" s="4" t="s">
        <v>9</v>
      </c>
      <c r="C38" s="4">
        <v>69</v>
      </c>
      <c r="D38" s="4">
        <v>6.9416000000000002</v>
      </c>
      <c r="E38" s="4"/>
      <c r="F38" s="4"/>
      <c r="G38" s="4"/>
      <c r="H38" s="4"/>
      <c r="I38" s="4"/>
      <c r="J38" s="4"/>
      <c r="K38" s="4"/>
      <c r="L38" s="4"/>
      <c r="M38" s="4"/>
    </row>
    <row r="39" spans="1:13" s="3" customFormat="1" ht="12" x14ac:dyDescent="0.3">
      <c r="A39" s="4"/>
      <c r="B39" s="4" t="s">
        <v>32</v>
      </c>
      <c r="C39" s="4">
        <v>20</v>
      </c>
      <c r="D39" s="4">
        <v>2.0121000000000002</v>
      </c>
      <c r="E39" s="4"/>
      <c r="F39" s="4"/>
      <c r="G39" s="4"/>
      <c r="H39" s="4"/>
      <c r="I39" s="4"/>
      <c r="J39" s="4"/>
      <c r="K39" s="4"/>
      <c r="L39" s="4"/>
      <c r="M39" s="4"/>
    </row>
    <row r="40" spans="1:13" s="3" customFormat="1" ht="12" x14ac:dyDescent="0.3">
      <c r="A40" s="4"/>
      <c r="B40" s="4" t="s">
        <v>43</v>
      </c>
      <c r="C40" s="4">
        <v>2</v>
      </c>
      <c r="D40" s="4">
        <v>0.20119999999999999</v>
      </c>
      <c r="E40" s="4"/>
      <c r="F40" s="4"/>
      <c r="G40" s="4"/>
      <c r="H40" s="4"/>
      <c r="I40" s="4"/>
      <c r="J40" s="4"/>
      <c r="K40" s="4"/>
      <c r="L40" s="4"/>
      <c r="M40" s="4"/>
    </row>
    <row r="41" spans="1:13" s="3" customFormat="1" ht="12" x14ac:dyDescent="0.3">
      <c r="A41" s="4"/>
      <c r="B41" s="4" t="s">
        <v>31</v>
      </c>
      <c r="C41" s="4">
        <v>33</v>
      </c>
      <c r="D41" s="4">
        <v>3.3199000000000001</v>
      </c>
      <c r="E41" s="4"/>
      <c r="F41" s="4"/>
      <c r="G41" s="4"/>
      <c r="H41" s="4"/>
      <c r="I41" s="4"/>
      <c r="J41" s="4"/>
      <c r="K41" s="4"/>
      <c r="L41" s="4"/>
      <c r="M41" s="4"/>
    </row>
    <row r="42" spans="1:13" s="3" customFormat="1" ht="12" x14ac:dyDescent="0.3">
      <c r="A42" s="4"/>
      <c r="B42" s="4" t="s">
        <v>4</v>
      </c>
      <c r="C42" s="4">
        <v>16</v>
      </c>
      <c r="D42" s="4">
        <v>1.6096999999999999</v>
      </c>
      <c r="E42" s="4"/>
      <c r="F42" s="4"/>
      <c r="G42" s="4"/>
      <c r="H42" s="4"/>
      <c r="I42" s="4"/>
      <c r="J42" s="4"/>
      <c r="K42" s="4"/>
      <c r="L42" s="4"/>
      <c r="M42" s="4"/>
    </row>
    <row r="43" spans="1:13" s="3" customFormat="1" ht="12" x14ac:dyDescent="0.3">
      <c r="A43" s="4"/>
      <c r="B43" s="4" t="s">
        <v>8</v>
      </c>
      <c r="C43" s="4">
        <v>7</v>
      </c>
      <c r="D43" s="4">
        <v>0.70420000000000005</v>
      </c>
      <c r="E43" s="4"/>
      <c r="F43" s="4"/>
      <c r="G43" s="4"/>
      <c r="H43" s="4"/>
      <c r="I43" s="4"/>
      <c r="J43" s="4"/>
      <c r="K43" s="4"/>
      <c r="L43" s="4"/>
      <c r="M43" s="4"/>
    </row>
    <row r="44" spans="1:13" s="3" customFormat="1" ht="12" x14ac:dyDescent="0.3">
      <c r="A44" s="4"/>
      <c r="B44" s="4" t="s">
        <v>22</v>
      </c>
      <c r="C44" s="4">
        <v>25</v>
      </c>
      <c r="D44" s="4">
        <v>2.5150999999999999</v>
      </c>
      <c r="E44" s="4"/>
      <c r="F44" s="4"/>
      <c r="G44" s="4"/>
      <c r="H44" s="4"/>
      <c r="I44" s="4"/>
      <c r="J44" s="4"/>
      <c r="K44" s="4"/>
      <c r="L44" s="4"/>
      <c r="M44" s="4"/>
    </row>
    <row r="45" spans="1:13" s="3" customFormat="1" ht="12" x14ac:dyDescent="0.3">
      <c r="A45" s="4"/>
      <c r="B45" s="4" t="s">
        <v>45</v>
      </c>
      <c r="C45" s="4">
        <v>9</v>
      </c>
      <c r="D45" s="4">
        <v>0.90539999999999998</v>
      </c>
      <c r="E45" s="4"/>
      <c r="F45" s="4"/>
      <c r="G45" s="4"/>
      <c r="H45" s="4"/>
      <c r="I45" s="4"/>
      <c r="J45" s="4"/>
      <c r="K45" s="4"/>
      <c r="L45" s="4"/>
      <c r="M45" s="4"/>
    </row>
    <row r="46" spans="1:13" s="3" customFormat="1" ht="12" x14ac:dyDescent="0.3">
      <c r="A46" s="4"/>
      <c r="B46" s="4" t="s">
        <v>17</v>
      </c>
      <c r="C46" s="4">
        <v>23</v>
      </c>
      <c r="D46" s="4">
        <v>2.3138999999999998</v>
      </c>
      <c r="E46" s="4"/>
      <c r="F46" s="4"/>
      <c r="G46" s="4"/>
      <c r="H46" s="4"/>
      <c r="I46" s="4"/>
      <c r="J46" s="4"/>
      <c r="K46" s="4"/>
      <c r="L46" s="4"/>
      <c r="M46" s="4"/>
    </row>
    <row r="47" spans="1:13" s="3" customFormat="1" ht="12" x14ac:dyDescent="0.3">
      <c r="A47" s="4"/>
      <c r="B47" s="4" t="s">
        <v>16</v>
      </c>
      <c r="C47" s="4">
        <v>97</v>
      </c>
      <c r="D47" s="4">
        <v>9.7585999999999995</v>
      </c>
      <c r="E47" s="4"/>
      <c r="F47" s="4"/>
      <c r="G47" s="4"/>
      <c r="H47" s="4"/>
      <c r="I47" s="4"/>
      <c r="J47" s="4"/>
      <c r="K47" s="4"/>
      <c r="L47" s="4"/>
      <c r="M47" s="4"/>
    </row>
    <row r="48" spans="1:13" s="3" customFormat="1" ht="12" x14ac:dyDescent="0.3">
      <c r="A48" s="4"/>
      <c r="B48" s="4" t="s">
        <v>5</v>
      </c>
      <c r="C48" s="4">
        <v>10</v>
      </c>
      <c r="D48" s="4">
        <v>1.006</v>
      </c>
      <c r="E48" s="4"/>
      <c r="F48" s="4"/>
      <c r="G48" s="4"/>
      <c r="H48" s="4"/>
      <c r="I48" s="4"/>
      <c r="J48" s="4"/>
      <c r="K48" s="4"/>
      <c r="L48" s="4"/>
      <c r="M48" s="4"/>
    </row>
    <row r="49" spans="1:22" s="3" customFormat="1" ht="12" x14ac:dyDescent="0.3">
      <c r="A49" s="4"/>
      <c r="B49" s="4" t="s">
        <v>1</v>
      </c>
      <c r="C49" s="4">
        <v>1</v>
      </c>
      <c r="D49" s="4">
        <v>0.10059999999999999</v>
      </c>
      <c r="E49" s="4"/>
      <c r="F49" s="4"/>
      <c r="G49" s="4"/>
      <c r="H49" s="4"/>
      <c r="I49" s="4"/>
      <c r="J49" s="4"/>
      <c r="K49" s="4"/>
      <c r="L49" s="4"/>
      <c r="M49" s="4"/>
    </row>
    <row r="50" spans="1:22" s="3" customFormat="1" ht="12" x14ac:dyDescent="0.3">
      <c r="A50" s="4"/>
      <c r="B50" s="4" t="s">
        <v>34</v>
      </c>
      <c r="C50" s="4">
        <v>24</v>
      </c>
      <c r="D50" s="4">
        <v>2.4144999999999999</v>
      </c>
      <c r="E50" s="4"/>
      <c r="F50" s="4"/>
      <c r="G50" s="4"/>
      <c r="H50" s="4"/>
      <c r="I50" s="4"/>
      <c r="J50" s="4"/>
      <c r="K50" s="4"/>
      <c r="L50" s="4"/>
      <c r="M50" s="4"/>
    </row>
    <row r="51" spans="1:22" s="3" customFormat="1" ht="12" x14ac:dyDescent="0.3">
      <c r="A51" s="4"/>
      <c r="B51" s="4" t="s">
        <v>2</v>
      </c>
      <c r="C51" s="4">
        <v>28</v>
      </c>
      <c r="D51" s="4">
        <v>2.8169</v>
      </c>
      <c r="E51" s="4"/>
      <c r="F51" s="4"/>
      <c r="G51" s="4"/>
      <c r="H51" s="4"/>
      <c r="I51" s="4"/>
      <c r="J51" s="4"/>
      <c r="K51" s="4"/>
      <c r="L51" s="4"/>
      <c r="M51" s="4"/>
    </row>
    <row r="52" spans="1:22" s="3" customFormat="1" ht="12" x14ac:dyDescent="0.3">
      <c r="A52" s="4"/>
      <c r="B52" s="4" t="s">
        <v>30</v>
      </c>
      <c r="C52" s="4">
        <v>10</v>
      </c>
      <c r="D52" s="4">
        <v>1.006</v>
      </c>
      <c r="E52" s="4"/>
      <c r="F52" s="4"/>
      <c r="G52" s="4"/>
      <c r="H52" s="4"/>
      <c r="I52" s="4"/>
      <c r="J52" s="4"/>
      <c r="K52" s="4"/>
      <c r="L52" s="4"/>
      <c r="M52" s="4"/>
    </row>
    <row r="53" spans="1:22" s="3" customFormat="1" ht="12" x14ac:dyDescent="0.3">
      <c r="A53" s="4"/>
      <c r="B53" s="4" t="s">
        <v>25</v>
      </c>
      <c r="C53" s="4">
        <v>8</v>
      </c>
      <c r="D53" s="4">
        <v>0.80479999999999996</v>
      </c>
      <c r="E53" s="4"/>
      <c r="F53" s="4"/>
      <c r="G53" s="4"/>
      <c r="H53" s="4"/>
      <c r="I53" s="4"/>
      <c r="J53" s="4"/>
      <c r="K53" s="4"/>
      <c r="L53" s="4"/>
      <c r="M53" s="4"/>
    </row>
    <row r="54" spans="1:22" s="3" customFormat="1" ht="12" x14ac:dyDescent="0.3">
      <c r="A54" s="4"/>
      <c r="B54" s="4" t="s">
        <v>44</v>
      </c>
      <c r="C54" s="4">
        <v>1</v>
      </c>
      <c r="D54" s="4">
        <v>0.10059999999999999</v>
      </c>
      <c r="E54" s="4"/>
      <c r="F54" s="4"/>
      <c r="G54" s="4"/>
      <c r="H54" s="4"/>
      <c r="I54" s="4"/>
      <c r="J54" s="4"/>
      <c r="K54" s="4"/>
      <c r="L54" s="4"/>
      <c r="M54" s="4"/>
    </row>
    <row r="57" spans="1:22" x14ac:dyDescent="0.3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</row>
    <row r="61" spans="1:22" x14ac:dyDescent="0.35">
      <c r="O61" s="4"/>
      <c r="P61" s="4"/>
      <c r="Q61" s="4"/>
      <c r="R61" s="4"/>
      <c r="S61" s="4"/>
      <c r="T61" s="4"/>
      <c r="U61" s="4"/>
      <c r="V61" s="4"/>
    </row>
    <row r="62" spans="1:22" x14ac:dyDescent="0.35">
      <c r="V62" s="4"/>
    </row>
    <row r="63" spans="1:22" x14ac:dyDescent="0.35">
      <c r="A63" s="4" t="s">
        <v>112</v>
      </c>
      <c r="B63" s="4" t="s">
        <v>159</v>
      </c>
      <c r="V63" s="4"/>
    </row>
    <row r="64" spans="1:22" x14ac:dyDescent="0.35">
      <c r="V64" s="4"/>
    </row>
    <row r="65" spans="1:22" x14ac:dyDescent="0.35">
      <c r="V65" s="4"/>
    </row>
    <row r="66" spans="1:22" x14ac:dyDescent="0.35">
      <c r="B66" s="4" t="s">
        <v>0</v>
      </c>
      <c r="C66" s="4" t="s">
        <v>54</v>
      </c>
      <c r="V66" s="4"/>
    </row>
    <row r="67" spans="1:22" x14ac:dyDescent="0.35">
      <c r="B67" s="4">
        <v>1</v>
      </c>
      <c r="C67" s="4">
        <v>3.5548000000000002</v>
      </c>
      <c r="V67" s="4"/>
    </row>
    <row r="68" spans="1:22" x14ac:dyDescent="0.35">
      <c r="B68" s="4">
        <v>2</v>
      </c>
      <c r="C68" s="4">
        <v>3.355</v>
      </c>
      <c r="V68" s="4"/>
    </row>
    <row r="69" spans="1:22" x14ac:dyDescent="0.35">
      <c r="B69" s="4">
        <v>3</v>
      </c>
      <c r="C69" s="4">
        <v>2.9563000000000001</v>
      </c>
      <c r="V69" s="4"/>
    </row>
    <row r="70" spans="1:22" x14ac:dyDescent="0.35">
      <c r="B70" s="4">
        <v>4</v>
      </c>
      <c r="C70" s="4">
        <v>2.3969999999999998</v>
      </c>
      <c r="O70" s="4"/>
      <c r="P70" s="4"/>
      <c r="Q70" s="4"/>
      <c r="R70" s="4"/>
      <c r="S70" s="4"/>
      <c r="T70" s="4"/>
      <c r="U70" s="4"/>
      <c r="V70" s="4"/>
    </row>
    <row r="71" spans="1:22" x14ac:dyDescent="0.35">
      <c r="B71" s="4" t="s">
        <v>98</v>
      </c>
      <c r="C71" s="4">
        <f>AVERAGE(C67:C70)</f>
        <v>3.0657750000000004</v>
      </c>
      <c r="O71" s="4"/>
      <c r="P71" s="4"/>
      <c r="Q71" s="4"/>
      <c r="R71" s="4"/>
      <c r="S71" s="4"/>
      <c r="T71" s="4"/>
      <c r="U71" s="4"/>
      <c r="V71" s="4"/>
    </row>
    <row r="72" spans="1:22" x14ac:dyDescent="0.35">
      <c r="O72" s="4"/>
      <c r="P72" s="4"/>
      <c r="Q72" s="4"/>
      <c r="R72" s="4"/>
      <c r="S72" s="4"/>
      <c r="T72" s="4"/>
      <c r="U72" s="4"/>
      <c r="V72" s="4"/>
    </row>
    <row r="74" spans="1:22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</row>
    <row r="75" spans="1:22" x14ac:dyDescent="0.35">
      <c r="A75" s="4" t="s">
        <v>113</v>
      </c>
      <c r="B75" s="4" t="s">
        <v>160</v>
      </c>
    </row>
    <row r="76" spans="1:22" x14ac:dyDescent="0.35">
      <c r="B76" s="4" t="s">
        <v>155</v>
      </c>
    </row>
    <row r="77" spans="1:22" x14ac:dyDescent="0.35">
      <c r="B77" s="4" t="s">
        <v>119</v>
      </c>
      <c r="C77" s="4" t="s">
        <v>120</v>
      </c>
      <c r="L77" s="2"/>
      <c r="M77"/>
    </row>
    <row r="78" spans="1:22" s="3" customFormat="1" ht="13" x14ac:dyDescent="0.3">
      <c r="A78" s="4"/>
      <c r="B78" s="4" t="s">
        <v>55</v>
      </c>
      <c r="C78" s="4" t="s">
        <v>114</v>
      </c>
      <c r="D78" s="4" t="s">
        <v>115</v>
      </c>
      <c r="E78" s="4" t="s">
        <v>116</v>
      </c>
      <c r="F78" s="4" t="s">
        <v>117</v>
      </c>
      <c r="G78" s="4" t="s">
        <v>118</v>
      </c>
      <c r="H78" s="4" t="s">
        <v>121</v>
      </c>
      <c r="I78" s="4"/>
      <c r="J78" s="4"/>
      <c r="K78" s="4"/>
      <c r="L78" s="2"/>
    </row>
    <row r="79" spans="1:22" s="3" customFormat="1" ht="13" x14ac:dyDescent="0.3">
      <c r="A79" s="4"/>
      <c r="B79" s="4">
        <v>1</v>
      </c>
      <c r="C79" s="4">
        <v>6.5960000000000001</v>
      </c>
      <c r="D79" s="4">
        <v>6.72</v>
      </c>
      <c r="E79" s="4">
        <v>17.228000000000002</v>
      </c>
      <c r="F79" s="4">
        <v>36.845999999999997</v>
      </c>
      <c r="G79" s="4">
        <v>38.316000000000003</v>
      </c>
      <c r="H79" s="4">
        <v>105.706</v>
      </c>
      <c r="I79" s="4"/>
      <c r="J79" s="4"/>
      <c r="K79" s="4"/>
      <c r="L79" s="2"/>
    </row>
    <row r="80" spans="1:22" s="3" customFormat="1" ht="13" x14ac:dyDescent="0.3">
      <c r="A80" s="4"/>
      <c r="B80" s="4">
        <v>2</v>
      </c>
      <c r="C80" s="4">
        <v>8.6969999999999992</v>
      </c>
      <c r="D80" s="4">
        <v>7.5110000000000001</v>
      </c>
      <c r="E80" s="4">
        <v>13.885999999999999</v>
      </c>
      <c r="F80" s="4">
        <v>15.66</v>
      </c>
      <c r="G80" s="4">
        <v>24.9</v>
      </c>
      <c r="H80" s="4">
        <v>70.653999999999996</v>
      </c>
      <c r="I80" s="4"/>
      <c r="J80" s="4"/>
      <c r="K80" s="4"/>
      <c r="L80" s="2"/>
    </row>
    <row r="81" spans="1:12" s="3" customFormat="1" ht="13" x14ac:dyDescent="0.3">
      <c r="A81" s="4"/>
      <c r="B81" s="4">
        <v>3</v>
      </c>
      <c r="C81" s="4">
        <v>9.5939999999999994</v>
      </c>
      <c r="D81" s="4">
        <v>14.872</v>
      </c>
      <c r="E81" s="4">
        <v>12.4</v>
      </c>
      <c r="F81" s="4">
        <v>10.704000000000001</v>
      </c>
      <c r="G81" s="4">
        <v>6.3840000000000003</v>
      </c>
      <c r="H81" s="4">
        <v>53.954000000000001</v>
      </c>
      <c r="I81" s="4"/>
      <c r="J81" s="4"/>
      <c r="K81" s="4"/>
      <c r="L81" s="2"/>
    </row>
    <row r="82" spans="1:12" s="3" customFormat="1" ht="13" x14ac:dyDescent="0.3">
      <c r="A82" s="4"/>
      <c r="B82" s="4">
        <v>4</v>
      </c>
      <c r="C82" s="4">
        <v>21.289000000000001</v>
      </c>
      <c r="D82" s="4">
        <v>18.501999999999999</v>
      </c>
      <c r="E82" s="4">
        <v>7.92</v>
      </c>
      <c r="F82" s="4">
        <v>1.86</v>
      </c>
      <c r="G82" s="4">
        <v>1.76</v>
      </c>
      <c r="H82" s="4">
        <v>51.331000000000003</v>
      </c>
      <c r="I82" s="4"/>
      <c r="J82" s="4"/>
      <c r="K82" s="4"/>
      <c r="L82" s="2"/>
    </row>
    <row r="83" spans="1:12" s="3" customFormat="1" ht="13" x14ac:dyDescent="0.3">
      <c r="A83" s="4"/>
      <c r="B83" s="4" t="s">
        <v>121</v>
      </c>
      <c r="C83" s="4">
        <v>46.176000000000002</v>
      </c>
      <c r="D83" s="4">
        <v>47.604999999999997</v>
      </c>
      <c r="E83" s="4">
        <v>51.433999999999997</v>
      </c>
      <c r="F83" s="4">
        <v>65.069999999999993</v>
      </c>
      <c r="G83" s="4">
        <v>71.36</v>
      </c>
      <c r="H83" s="4">
        <v>281.64499999999998</v>
      </c>
      <c r="I83" s="4"/>
      <c r="J83" s="4"/>
      <c r="K83" s="4"/>
      <c r="L83" s="2"/>
    </row>
    <row r="84" spans="1:12" s="3" customFormat="1" ht="13" x14ac:dyDescent="0.3">
      <c r="A84" s="4"/>
      <c r="B84" s="4"/>
      <c r="C84" s="4"/>
      <c r="D84" s="4"/>
      <c r="E84" s="4"/>
      <c r="F84" s="4"/>
      <c r="G84" s="15">
        <f>((G83+F83)/H83)</f>
        <v>0.48440412576115327</v>
      </c>
      <c r="H84" s="4"/>
      <c r="I84" s="4"/>
      <c r="J84" s="4"/>
      <c r="K84" s="4"/>
      <c r="L84" s="2"/>
    </row>
    <row r="85" spans="1:12" s="3" customFormat="1" ht="13" x14ac:dyDescent="0.3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2"/>
    </row>
    <row r="86" spans="1:12" s="3" customFormat="1" ht="13" x14ac:dyDescent="0.3">
      <c r="A86" s="4"/>
      <c r="C86" s="4"/>
      <c r="D86" s="4"/>
      <c r="E86" s="4"/>
      <c r="F86" s="4"/>
      <c r="G86" s="4"/>
      <c r="H86" s="4"/>
      <c r="I86" s="4"/>
      <c r="J86" s="4"/>
      <c r="K86" s="4"/>
      <c r="L86" s="2"/>
    </row>
    <row r="87" spans="1:12" s="3" customFormat="1" ht="13" x14ac:dyDescent="0.3">
      <c r="A87" s="4"/>
      <c r="B87" s="4" t="s">
        <v>149</v>
      </c>
      <c r="C87" s="4" t="s">
        <v>120</v>
      </c>
      <c r="D87" s="4"/>
      <c r="E87" s="4"/>
      <c r="F87" s="4"/>
      <c r="G87" s="4"/>
      <c r="H87" s="4"/>
      <c r="I87" s="4"/>
      <c r="J87" s="4"/>
      <c r="K87" s="4"/>
      <c r="L87" s="2"/>
    </row>
    <row r="88" spans="1:12" s="3" customFormat="1" ht="13" x14ac:dyDescent="0.3">
      <c r="A88" s="4"/>
      <c r="B88" s="4" t="s">
        <v>150</v>
      </c>
      <c r="C88" s="4" t="s">
        <v>151</v>
      </c>
      <c r="D88" s="4" t="s">
        <v>152</v>
      </c>
      <c r="E88" s="4" t="s">
        <v>153</v>
      </c>
      <c r="F88" s="4" t="s">
        <v>154</v>
      </c>
      <c r="G88" s="4" t="s">
        <v>121</v>
      </c>
      <c r="H88" s="4"/>
      <c r="I88" s="4"/>
      <c r="J88" s="4"/>
      <c r="K88" s="4"/>
      <c r="L88" s="2"/>
    </row>
    <row r="89" spans="1:12" s="3" customFormat="1" ht="13" x14ac:dyDescent="0.3">
      <c r="A89" s="4"/>
      <c r="B89" s="4" t="s">
        <v>114</v>
      </c>
      <c r="C89" s="4">
        <v>34</v>
      </c>
      <c r="D89" s="4">
        <v>39</v>
      </c>
      <c r="E89" s="4">
        <v>41</v>
      </c>
      <c r="F89" s="4">
        <v>61</v>
      </c>
      <c r="G89" s="4">
        <v>175</v>
      </c>
      <c r="H89" s="4"/>
      <c r="I89" s="4"/>
      <c r="J89" s="4"/>
      <c r="K89" s="4"/>
      <c r="L89" s="2"/>
    </row>
    <row r="90" spans="1:12" s="3" customFormat="1" ht="13" x14ac:dyDescent="0.3">
      <c r="A90" s="4"/>
      <c r="B90" s="4" t="s">
        <v>115</v>
      </c>
      <c r="C90" s="4">
        <v>35</v>
      </c>
      <c r="D90" s="4">
        <v>37</v>
      </c>
      <c r="E90" s="4">
        <v>52</v>
      </c>
      <c r="F90" s="4">
        <v>58</v>
      </c>
      <c r="G90" s="4">
        <v>182</v>
      </c>
      <c r="H90" s="4"/>
      <c r="I90" s="4"/>
      <c r="J90" s="4"/>
      <c r="K90" s="4"/>
      <c r="L90" s="2"/>
    </row>
    <row r="91" spans="1:12" s="3" customFormat="1" ht="13" x14ac:dyDescent="0.3">
      <c r="A91" s="4"/>
      <c r="B91" s="4" t="s">
        <v>116</v>
      </c>
      <c r="C91" s="4">
        <v>59</v>
      </c>
      <c r="D91" s="4">
        <v>53</v>
      </c>
      <c r="E91" s="4">
        <v>50</v>
      </c>
      <c r="F91" s="4">
        <v>40</v>
      </c>
      <c r="G91" s="4">
        <v>202</v>
      </c>
      <c r="H91" s="4"/>
      <c r="I91" s="4"/>
      <c r="J91" s="4"/>
      <c r="K91" s="4"/>
      <c r="L91" s="2"/>
    </row>
    <row r="92" spans="1:12" s="3" customFormat="1" ht="13" x14ac:dyDescent="0.3">
      <c r="A92" s="4"/>
      <c r="B92" s="4" t="s">
        <v>117</v>
      </c>
      <c r="C92" s="4">
        <v>89</v>
      </c>
      <c r="D92" s="4">
        <v>58</v>
      </c>
      <c r="E92" s="4">
        <v>48</v>
      </c>
      <c r="F92" s="4">
        <v>20</v>
      </c>
      <c r="G92" s="4">
        <v>215</v>
      </c>
      <c r="H92" s="4"/>
      <c r="I92" s="4"/>
      <c r="J92" s="4"/>
      <c r="K92" s="4"/>
      <c r="L92" s="2"/>
    </row>
    <row r="93" spans="1:12" s="3" customFormat="1" ht="13" x14ac:dyDescent="0.3">
      <c r="A93" s="4"/>
      <c r="B93" s="4" t="s">
        <v>118</v>
      </c>
      <c r="C93" s="4">
        <v>93</v>
      </c>
      <c r="D93" s="4">
        <v>75</v>
      </c>
      <c r="E93" s="4">
        <v>38</v>
      </c>
      <c r="F93" s="4">
        <v>20</v>
      </c>
      <c r="G93" s="4">
        <v>226</v>
      </c>
      <c r="H93" s="4"/>
      <c r="I93" s="4"/>
      <c r="J93" s="4"/>
      <c r="K93" s="4"/>
      <c r="L93" s="2"/>
    </row>
    <row r="94" spans="1:12" s="3" customFormat="1" ht="13" x14ac:dyDescent="0.3">
      <c r="A94" s="4"/>
      <c r="B94" s="4" t="s">
        <v>121</v>
      </c>
      <c r="C94" s="4">
        <v>310</v>
      </c>
      <c r="D94" s="4">
        <v>262</v>
      </c>
      <c r="E94" s="4">
        <v>229</v>
      </c>
      <c r="F94" s="4">
        <v>199</v>
      </c>
      <c r="G94" s="4">
        <v>1000</v>
      </c>
      <c r="H94" s="4"/>
      <c r="I94" s="4"/>
      <c r="J94" s="4"/>
      <c r="K94" s="4"/>
      <c r="L94" s="2"/>
    </row>
    <row r="95" spans="1:12" s="3" customFormat="1" ht="13" x14ac:dyDescent="0.3">
      <c r="A95" s="4"/>
      <c r="B95" s="4"/>
      <c r="C95" s="4">
        <v>3.5548387096774192</v>
      </c>
      <c r="D95" s="4">
        <v>3.3549618320610688</v>
      </c>
      <c r="E95" s="4">
        <v>2.9563318777292578</v>
      </c>
      <c r="F95" s="4">
        <v>2.3969849246231156</v>
      </c>
      <c r="G95" s="4">
        <v>3.1349999999999998</v>
      </c>
      <c r="H95" s="4"/>
      <c r="I95" s="4"/>
      <c r="J95" s="4"/>
      <c r="K95" s="4"/>
      <c r="L95" s="2"/>
    </row>
    <row r="96" spans="1:12" s="3" customFormat="1" ht="13" x14ac:dyDescent="0.3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2"/>
    </row>
    <row r="97" spans="1:13" s="3" customFormat="1" ht="13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2"/>
    </row>
    <row r="98" spans="1:13" s="3" customFormat="1" ht="13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2"/>
    </row>
    <row r="99" spans="1:13" s="3" customFormat="1" ht="13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2"/>
    </row>
    <row r="100" spans="1:13" s="3" customFormat="1" ht="13" x14ac:dyDescent="0.3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2"/>
    </row>
    <row r="101" spans="1:13" s="3" customFormat="1" ht="13" x14ac:dyDescent="0.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2"/>
    </row>
    <row r="102" spans="1:13" s="3" customFormat="1" ht="13" x14ac:dyDescent="0.3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2"/>
    </row>
    <row r="103" spans="1:13" s="3" customFormat="1" ht="13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2"/>
    </row>
    <row r="104" spans="1:13" s="3" customFormat="1" ht="13" x14ac:dyDescent="0.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2"/>
    </row>
    <row r="105" spans="1:13" s="3" customFormat="1" ht="14.5" customHeight="1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2"/>
    </row>
    <row r="106" spans="1:13" s="3" customFormat="1" ht="14.5" customHeight="1" x14ac:dyDescent="0.3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</row>
    <row r="107" spans="1:13" s="3" customFormat="1" ht="14.5" customHeight="1" x14ac:dyDescent="0.3">
      <c r="A107" s="4" t="s">
        <v>122</v>
      </c>
      <c r="B107" s="4" t="s">
        <v>161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3" s="3" customFormat="1" ht="14.5" customHeight="1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</row>
    <row r="109" spans="1:13" s="3" customFormat="1" ht="14.5" customHeight="1" x14ac:dyDescent="0.3">
      <c r="B109" s="6" t="s">
        <v>62</v>
      </c>
      <c r="C109" s="8" t="s">
        <v>61</v>
      </c>
      <c r="D109" s="4"/>
      <c r="E109" s="4"/>
      <c r="F109" s="4"/>
      <c r="G109" s="4"/>
      <c r="H109" s="4"/>
      <c r="I109" s="4"/>
      <c r="J109" s="4"/>
      <c r="K109" s="4"/>
      <c r="L109" s="4"/>
      <c r="M109" s="4"/>
    </row>
    <row r="110" spans="1:13" s="3" customFormat="1" ht="14.5" customHeight="1" x14ac:dyDescent="0.3">
      <c r="A110" s="4"/>
      <c r="B110" s="9" t="s">
        <v>60</v>
      </c>
      <c r="C110" s="11">
        <v>83</v>
      </c>
      <c r="D110" s="4"/>
      <c r="E110" s="4"/>
      <c r="F110" s="4"/>
      <c r="G110" s="4"/>
      <c r="H110" s="4"/>
      <c r="I110" s="4"/>
      <c r="J110" s="4"/>
      <c r="K110" s="4"/>
      <c r="L110" s="4"/>
      <c r="M110" s="4"/>
    </row>
    <row r="111" spans="1:13" s="3" customFormat="1" ht="14.5" customHeight="1" x14ac:dyDescent="0.3">
      <c r="A111" s="4"/>
      <c r="B111" s="12" t="s">
        <v>59</v>
      </c>
      <c r="C111" s="14">
        <v>63</v>
      </c>
      <c r="D111" s="4"/>
      <c r="E111" s="4"/>
      <c r="F111" s="4"/>
      <c r="G111" s="4"/>
      <c r="H111" s="4"/>
      <c r="I111" s="4"/>
      <c r="J111" s="4"/>
      <c r="K111" s="4"/>
      <c r="L111" s="4"/>
      <c r="M111" s="4"/>
    </row>
    <row r="112" spans="1:13" s="3" customFormat="1" ht="14.5" customHeight="1" x14ac:dyDescent="0.3">
      <c r="A112" s="4"/>
      <c r="B112" s="9" t="s">
        <v>58</v>
      </c>
      <c r="C112" s="11">
        <v>52</v>
      </c>
      <c r="D112" s="4"/>
      <c r="E112" s="4"/>
      <c r="F112" s="4"/>
      <c r="G112" s="4"/>
      <c r="H112" s="4"/>
      <c r="I112" s="4"/>
      <c r="J112" s="4"/>
      <c r="K112" s="4"/>
      <c r="L112" s="4"/>
      <c r="M112" s="4"/>
    </row>
    <row r="113" spans="1:13" s="3" customFormat="1" ht="14.5" customHeight="1" x14ac:dyDescent="0.3">
      <c r="A113" s="4"/>
      <c r="B113" s="12" t="s">
        <v>56</v>
      </c>
      <c r="C113" s="14">
        <v>50</v>
      </c>
      <c r="D113" s="4"/>
      <c r="E113" s="4"/>
      <c r="F113" s="4"/>
      <c r="G113" s="4"/>
      <c r="H113" s="4"/>
      <c r="I113" s="4"/>
      <c r="J113" s="4"/>
      <c r="K113" s="4"/>
      <c r="L113" s="4"/>
      <c r="M113" s="4"/>
    </row>
    <row r="114" spans="1:13" s="3" customFormat="1" ht="14.5" customHeight="1" x14ac:dyDescent="0.3">
      <c r="A114" s="4"/>
      <c r="B114" s="9" t="s">
        <v>57</v>
      </c>
      <c r="C114" s="11">
        <v>50</v>
      </c>
      <c r="D114" s="4"/>
      <c r="E114" s="4"/>
      <c r="F114" s="4"/>
      <c r="G114" s="4"/>
      <c r="H114" s="4"/>
      <c r="I114" s="4"/>
      <c r="J114" s="4"/>
      <c r="K114" s="4"/>
      <c r="L114" s="4"/>
      <c r="M114" s="4"/>
    </row>
    <row r="115" spans="1:13" s="3" customFormat="1" ht="14.5" customHeight="1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</row>
    <row r="116" spans="1:13" s="3" customFormat="1" ht="14.5" customHeight="1" x14ac:dyDescent="0.3">
      <c r="A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</row>
    <row r="117" spans="1:13" s="3" customFormat="1" ht="14.5" customHeight="1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</row>
    <row r="118" spans="1:13" s="3" customFormat="1" ht="12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</row>
    <row r="119" spans="1:13" s="3" customFormat="1" ht="12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</row>
    <row r="120" spans="1:13" s="3" customFormat="1" ht="12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</row>
    <row r="121" spans="1:13" s="3" customFormat="1" ht="12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</row>
    <row r="122" spans="1:13" s="3" customFormat="1" ht="12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</row>
    <row r="123" spans="1:13" s="3" customFormat="1" ht="12" x14ac:dyDescent="0.3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</row>
    <row r="124" spans="1:13" s="3" customFormat="1" ht="12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</row>
    <row r="125" spans="1:13" s="3" customFormat="1" ht="12" x14ac:dyDescent="0.3">
      <c r="A125" s="4" t="s">
        <v>123</v>
      </c>
      <c r="B125" s="4" t="s">
        <v>162</v>
      </c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</row>
    <row r="126" spans="1:13" s="3" customFormat="1" ht="12" x14ac:dyDescent="0.3">
      <c r="B126" s="16" t="s">
        <v>124</v>
      </c>
      <c r="C126" s="17" t="s">
        <v>125</v>
      </c>
      <c r="D126" s="17" t="s">
        <v>126</v>
      </c>
      <c r="E126" s="7" t="s">
        <v>51</v>
      </c>
      <c r="F126" s="8" t="s">
        <v>62</v>
      </c>
      <c r="G126" s="4"/>
      <c r="H126" s="4"/>
      <c r="I126" s="4"/>
      <c r="J126" s="4"/>
      <c r="K126" s="4"/>
      <c r="L126" s="4"/>
      <c r="M126" s="4"/>
    </row>
    <row r="127" spans="1:13" s="3" customFormat="1" ht="12" x14ac:dyDescent="0.3">
      <c r="A127" s="4"/>
      <c r="B127" s="18">
        <v>5</v>
      </c>
      <c r="C127" s="19">
        <v>30</v>
      </c>
      <c r="D127" s="19">
        <v>1</v>
      </c>
      <c r="E127" s="10" t="s">
        <v>12</v>
      </c>
      <c r="F127" s="11" t="s">
        <v>56</v>
      </c>
      <c r="G127" s="4"/>
      <c r="H127" s="4"/>
      <c r="I127" s="4"/>
      <c r="J127" s="4"/>
      <c r="K127" s="4"/>
      <c r="L127" s="4"/>
      <c r="M127" s="4"/>
    </row>
    <row r="128" spans="1:13" s="3" customFormat="1" ht="12" x14ac:dyDescent="0.3">
      <c r="A128" s="4"/>
      <c r="B128" s="20">
        <v>2</v>
      </c>
      <c r="C128" s="21">
        <v>10</v>
      </c>
      <c r="D128" s="21">
        <v>1</v>
      </c>
      <c r="E128" s="13" t="s">
        <v>35</v>
      </c>
      <c r="F128" s="14" t="s">
        <v>60</v>
      </c>
      <c r="G128" s="4"/>
      <c r="H128" s="4"/>
      <c r="I128" s="4"/>
      <c r="J128" s="4"/>
      <c r="K128" s="4"/>
      <c r="L128" s="4"/>
      <c r="M128" s="4"/>
    </row>
    <row r="129" spans="1:13" s="3" customFormat="1" ht="12" x14ac:dyDescent="0.3">
      <c r="A129" s="4"/>
      <c r="B129" s="18">
        <v>3</v>
      </c>
      <c r="C129" s="19">
        <v>26</v>
      </c>
      <c r="D129" s="19">
        <v>1</v>
      </c>
      <c r="E129" s="10" t="s">
        <v>6</v>
      </c>
      <c r="F129" s="11" t="s">
        <v>65</v>
      </c>
      <c r="G129" s="4"/>
      <c r="H129" s="4"/>
      <c r="I129" s="4"/>
      <c r="J129" s="4"/>
      <c r="K129" s="4"/>
      <c r="L129" s="4"/>
      <c r="M129" s="4"/>
    </row>
    <row r="130" spans="1:13" s="3" customFormat="1" ht="12" x14ac:dyDescent="0.3">
      <c r="A130" s="4"/>
      <c r="B130" s="20">
        <v>3</v>
      </c>
      <c r="C130" s="21">
        <v>26</v>
      </c>
      <c r="D130" s="21">
        <v>1</v>
      </c>
      <c r="E130" s="13" t="s">
        <v>6</v>
      </c>
      <c r="F130" s="14" t="s">
        <v>57</v>
      </c>
      <c r="G130" s="4"/>
      <c r="H130" s="4"/>
      <c r="I130" s="4"/>
      <c r="J130" s="4"/>
      <c r="K130" s="4"/>
      <c r="L130" s="4"/>
      <c r="M130" s="4"/>
    </row>
    <row r="131" spans="1:13" s="3" customFormat="1" ht="12" x14ac:dyDescent="0.3">
      <c r="A131" s="4"/>
      <c r="B131" s="18">
        <v>6</v>
      </c>
      <c r="C131" s="19">
        <v>97</v>
      </c>
      <c r="D131" s="19">
        <v>1</v>
      </c>
      <c r="E131" s="10" t="s">
        <v>20</v>
      </c>
      <c r="F131" s="11" t="s">
        <v>67</v>
      </c>
      <c r="G131" s="4"/>
      <c r="H131" s="4"/>
      <c r="I131" s="4"/>
      <c r="J131" s="4"/>
      <c r="K131" s="4"/>
      <c r="L131" s="4"/>
      <c r="M131" s="4"/>
    </row>
    <row r="132" spans="1:13" s="3" customFormat="1" ht="12" x14ac:dyDescent="0.3">
      <c r="A132" s="4"/>
      <c r="B132" s="20">
        <v>6</v>
      </c>
      <c r="C132" s="21">
        <v>97</v>
      </c>
      <c r="D132" s="21">
        <v>1</v>
      </c>
      <c r="E132" s="13" t="s">
        <v>20</v>
      </c>
      <c r="F132" s="14" t="s">
        <v>60</v>
      </c>
      <c r="G132" s="4"/>
      <c r="H132" s="4"/>
      <c r="I132" s="4"/>
      <c r="J132" s="4"/>
      <c r="K132" s="4"/>
      <c r="L132" s="4"/>
      <c r="M132" s="4"/>
    </row>
    <row r="133" spans="1:13" s="3" customFormat="1" ht="12" x14ac:dyDescent="0.3">
      <c r="A133" s="4"/>
      <c r="B133" s="18">
        <v>6</v>
      </c>
      <c r="C133" s="19">
        <v>97</v>
      </c>
      <c r="D133" s="19">
        <v>1</v>
      </c>
      <c r="E133" s="10" t="s">
        <v>20</v>
      </c>
      <c r="F133" s="11" t="s">
        <v>56</v>
      </c>
      <c r="G133" s="4"/>
      <c r="H133" s="4"/>
      <c r="I133" s="4"/>
      <c r="J133" s="4"/>
      <c r="K133" s="4"/>
      <c r="L133" s="4"/>
      <c r="M133" s="4"/>
    </row>
    <row r="134" spans="1:13" s="3" customFormat="1" ht="12" x14ac:dyDescent="0.3">
      <c r="A134" s="4"/>
      <c r="B134" s="20">
        <v>6</v>
      </c>
      <c r="C134" s="21">
        <v>97</v>
      </c>
      <c r="D134" s="21">
        <v>1</v>
      </c>
      <c r="E134" s="13" t="s">
        <v>20</v>
      </c>
      <c r="F134" s="14" t="s">
        <v>59</v>
      </c>
      <c r="G134" s="4"/>
      <c r="H134" s="4"/>
      <c r="I134" s="4"/>
      <c r="J134" s="4"/>
      <c r="K134" s="4"/>
      <c r="L134" s="4"/>
      <c r="M134" s="4"/>
    </row>
    <row r="135" spans="1:13" s="3" customFormat="1" ht="12" x14ac:dyDescent="0.3">
      <c r="A135" s="4"/>
      <c r="B135" s="18">
        <v>6</v>
      </c>
      <c r="C135" s="19">
        <v>97</v>
      </c>
      <c r="D135" s="19">
        <v>1</v>
      </c>
      <c r="E135" s="10" t="s">
        <v>20</v>
      </c>
      <c r="F135" s="11" t="s">
        <v>63</v>
      </c>
      <c r="G135" s="4"/>
      <c r="H135" s="4"/>
      <c r="I135" s="4"/>
      <c r="J135" s="4"/>
      <c r="K135" s="4"/>
      <c r="L135" s="4"/>
      <c r="M135" s="4"/>
    </row>
    <row r="136" spans="1:13" s="3" customFormat="1" ht="12" x14ac:dyDescent="0.3">
      <c r="A136" s="4"/>
      <c r="B136" s="20">
        <v>5</v>
      </c>
      <c r="C136" s="21">
        <v>33</v>
      </c>
      <c r="D136" s="21">
        <v>1</v>
      </c>
      <c r="E136" s="13" t="s">
        <v>33</v>
      </c>
      <c r="F136" s="14" t="s">
        <v>60</v>
      </c>
      <c r="G136" s="4"/>
      <c r="H136" s="4"/>
      <c r="I136" s="4"/>
      <c r="J136" s="4"/>
      <c r="K136" s="4"/>
      <c r="L136" s="4"/>
      <c r="M136" s="4"/>
    </row>
    <row r="137" spans="1:13" s="3" customFormat="1" ht="12" x14ac:dyDescent="0.3">
      <c r="A137" s="4"/>
      <c r="B137" s="18">
        <v>2</v>
      </c>
      <c r="C137" s="19">
        <v>22</v>
      </c>
      <c r="D137" s="19">
        <v>1</v>
      </c>
      <c r="E137" s="10" t="s">
        <v>7</v>
      </c>
      <c r="F137" s="11" t="s">
        <v>60</v>
      </c>
      <c r="G137" s="4"/>
      <c r="H137" s="4"/>
      <c r="I137" s="4"/>
      <c r="J137" s="4"/>
      <c r="K137" s="4"/>
      <c r="L137" s="4"/>
      <c r="M137" s="4"/>
    </row>
    <row r="138" spans="1:13" s="3" customFormat="1" ht="12" x14ac:dyDescent="0.3">
      <c r="A138" s="4"/>
      <c r="B138" s="20">
        <v>2</v>
      </c>
      <c r="C138" s="21">
        <v>22</v>
      </c>
      <c r="D138" s="21">
        <v>1</v>
      </c>
      <c r="E138" s="13" t="s">
        <v>7</v>
      </c>
      <c r="F138" s="14" t="s">
        <v>69</v>
      </c>
      <c r="G138" s="4"/>
      <c r="H138" s="4"/>
      <c r="I138" s="4"/>
      <c r="J138" s="4"/>
      <c r="K138" s="4"/>
      <c r="L138" s="4"/>
      <c r="M138" s="4"/>
    </row>
    <row r="139" spans="1:13" s="3" customFormat="1" ht="12" x14ac:dyDescent="0.3">
      <c r="A139" s="4"/>
      <c r="B139" s="18">
        <v>2</v>
      </c>
      <c r="C139" s="19">
        <v>22</v>
      </c>
      <c r="D139" s="19">
        <v>1</v>
      </c>
      <c r="E139" s="10" t="s">
        <v>7</v>
      </c>
      <c r="F139" s="11" t="s">
        <v>74</v>
      </c>
      <c r="G139" s="4"/>
      <c r="H139" s="4"/>
      <c r="I139" s="4"/>
      <c r="J139" s="4"/>
      <c r="K139" s="4"/>
      <c r="L139" s="4"/>
      <c r="M139" s="4"/>
    </row>
    <row r="140" spans="1:13" s="3" customFormat="1" ht="12" x14ac:dyDescent="0.3">
      <c r="A140" s="4"/>
      <c r="B140" s="20">
        <v>2</v>
      </c>
      <c r="C140" s="21">
        <v>22</v>
      </c>
      <c r="D140" s="21">
        <v>1</v>
      </c>
      <c r="E140" s="13" t="s">
        <v>7</v>
      </c>
      <c r="F140" s="14" t="s">
        <v>76</v>
      </c>
      <c r="G140" s="4"/>
      <c r="H140" s="4"/>
      <c r="I140" s="4"/>
      <c r="J140" s="4"/>
      <c r="K140" s="4"/>
      <c r="L140" s="4"/>
      <c r="M140" s="4"/>
    </row>
    <row r="141" spans="1:13" x14ac:dyDescent="0.35">
      <c r="B141" s="18">
        <v>2</v>
      </c>
      <c r="C141" s="19">
        <v>6</v>
      </c>
      <c r="D141" s="19">
        <v>1</v>
      </c>
      <c r="E141" s="10" t="s">
        <v>41</v>
      </c>
      <c r="F141" s="11" t="s">
        <v>71</v>
      </c>
    </row>
    <row r="142" spans="1:13" x14ac:dyDescent="0.35">
      <c r="B142" s="20">
        <v>4</v>
      </c>
      <c r="C142" s="21">
        <v>35</v>
      </c>
      <c r="D142" s="21">
        <v>1</v>
      </c>
      <c r="E142" s="13" t="s">
        <v>11</v>
      </c>
      <c r="F142" s="14" t="s">
        <v>60</v>
      </c>
    </row>
    <row r="143" spans="1:13" x14ac:dyDescent="0.35">
      <c r="B143" s="18">
        <v>7</v>
      </c>
      <c r="C143" s="19">
        <v>86</v>
      </c>
      <c r="D143" s="19">
        <v>1</v>
      </c>
      <c r="E143" s="10" t="s">
        <v>10</v>
      </c>
      <c r="F143" s="11" t="s">
        <v>58</v>
      </c>
      <c r="I143" s="6" t="s">
        <v>51</v>
      </c>
      <c r="J143" s="7" t="s">
        <v>62</v>
      </c>
      <c r="K143" s="7" t="s">
        <v>128</v>
      </c>
      <c r="L143" s="8" t="s">
        <v>129</v>
      </c>
    </row>
    <row r="144" spans="1:13" x14ac:dyDescent="0.35">
      <c r="B144" s="20">
        <v>3</v>
      </c>
      <c r="C144" s="21">
        <v>19</v>
      </c>
      <c r="D144" s="21">
        <v>1</v>
      </c>
      <c r="E144" s="13" t="s">
        <v>3</v>
      </c>
      <c r="F144" s="14" t="s">
        <v>58</v>
      </c>
      <c r="I144" s="9" t="s">
        <v>47</v>
      </c>
      <c r="J144" s="10" t="s">
        <v>60</v>
      </c>
      <c r="K144" s="10" t="s">
        <v>130</v>
      </c>
      <c r="L144" s="11" t="str">
        <f t="shared" ref="L144:L188" si="0">IF(K144="",J144,K144)</f>
        <v>***</v>
      </c>
    </row>
    <row r="145" spans="2:12" x14ac:dyDescent="0.35">
      <c r="B145" s="18">
        <v>2</v>
      </c>
      <c r="C145" s="19">
        <v>7</v>
      </c>
      <c r="D145" s="19">
        <v>1</v>
      </c>
      <c r="E145" s="10" t="s">
        <v>15</v>
      </c>
      <c r="F145" s="11" t="s">
        <v>56</v>
      </c>
      <c r="I145" s="12" t="s">
        <v>20</v>
      </c>
      <c r="J145" s="13" t="s">
        <v>60</v>
      </c>
      <c r="K145" s="13" t="s">
        <v>130</v>
      </c>
      <c r="L145" s="14" t="str">
        <f t="shared" si="0"/>
        <v>***</v>
      </c>
    </row>
    <row r="146" spans="2:12" x14ac:dyDescent="0.35">
      <c r="B146" s="20">
        <v>3</v>
      </c>
      <c r="C146" s="21">
        <v>25</v>
      </c>
      <c r="D146" s="21">
        <v>1</v>
      </c>
      <c r="E146" s="13" t="s">
        <v>14</v>
      </c>
      <c r="F146" s="14" t="s">
        <v>70</v>
      </c>
      <c r="I146" s="9" t="s">
        <v>41</v>
      </c>
      <c r="J146" s="10" t="s">
        <v>60</v>
      </c>
      <c r="K146" s="10" t="s">
        <v>130</v>
      </c>
      <c r="L146" s="10" t="str">
        <f t="shared" si="0"/>
        <v>***</v>
      </c>
    </row>
    <row r="147" spans="2:12" x14ac:dyDescent="0.35">
      <c r="B147" s="18">
        <v>3</v>
      </c>
      <c r="C147" s="19">
        <v>25</v>
      </c>
      <c r="D147" s="19">
        <v>1</v>
      </c>
      <c r="E147" s="10" t="s">
        <v>14</v>
      </c>
      <c r="F147" s="11" t="s">
        <v>60</v>
      </c>
      <c r="I147" s="12" t="s">
        <v>27</v>
      </c>
      <c r="J147" s="13" t="s">
        <v>59</v>
      </c>
      <c r="K147" s="13" t="s">
        <v>130</v>
      </c>
      <c r="L147" s="13" t="str">
        <f t="shared" si="0"/>
        <v>***</v>
      </c>
    </row>
    <row r="148" spans="2:12" x14ac:dyDescent="0.35">
      <c r="B148" s="20">
        <v>3</v>
      </c>
      <c r="C148" s="21">
        <v>25</v>
      </c>
      <c r="D148" s="21">
        <v>1</v>
      </c>
      <c r="E148" s="13" t="s">
        <v>14</v>
      </c>
      <c r="F148" s="14" t="s">
        <v>59</v>
      </c>
      <c r="I148" s="9" t="s">
        <v>14</v>
      </c>
      <c r="J148" s="10" t="s">
        <v>60</v>
      </c>
      <c r="K148" s="10" t="s">
        <v>130</v>
      </c>
      <c r="L148" s="10" t="str">
        <f t="shared" si="0"/>
        <v>***</v>
      </c>
    </row>
    <row r="149" spans="2:12" x14ac:dyDescent="0.35">
      <c r="B149" s="18">
        <v>4</v>
      </c>
      <c r="C149" s="19">
        <v>23</v>
      </c>
      <c r="D149" s="19">
        <v>1</v>
      </c>
      <c r="E149" s="10" t="s">
        <v>23</v>
      </c>
      <c r="F149" s="11" t="s">
        <v>64</v>
      </c>
      <c r="I149" s="12" t="s">
        <v>29</v>
      </c>
      <c r="J149" s="13" t="s">
        <v>60</v>
      </c>
      <c r="K149" s="13" t="s">
        <v>130</v>
      </c>
      <c r="L149" s="13" t="str">
        <f t="shared" si="0"/>
        <v>***</v>
      </c>
    </row>
    <row r="150" spans="2:12" x14ac:dyDescent="0.35">
      <c r="B150" s="20">
        <v>2</v>
      </c>
      <c r="C150" s="21">
        <v>20</v>
      </c>
      <c r="D150" s="21">
        <v>1</v>
      </c>
      <c r="E150" s="13" t="s">
        <v>37</v>
      </c>
      <c r="F150" s="14" t="s">
        <v>66</v>
      </c>
      <c r="I150" s="9" t="s">
        <v>37</v>
      </c>
      <c r="J150" s="10" t="s">
        <v>59</v>
      </c>
      <c r="K150" s="10" t="s">
        <v>130</v>
      </c>
      <c r="L150" s="10" t="str">
        <f t="shared" si="0"/>
        <v>***</v>
      </c>
    </row>
    <row r="151" spans="2:12" x14ac:dyDescent="0.35">
      <c r="B151" s="18">
        <v>2</v>
      </c>
      <c r="C151" s="19">
        <v>20</v>
      </c>
      <c r="D151" s="19">
        <v>1</v>
      </c>
      <c r="E151" s="10" t="s">
        <v>37</v>
      </c>
      <c r="F151" s="11" t="s">
        <v>59</v>
      </c>
      <c r="I151" s="12" t="s">
        <v>39</v>
      </c>
      <c r="J151" s="13" t="s">
        <v>60</v>
      </c>
      <c r="K151" s="13" t="s">
        <v>130</v>
      </c>
      <c r="L151" s="13" t="str">
        <f t="shared" si="0"/>
        <v>***</v>
      </c>
    </row>
    <row r="152" spans="2:12" x14ac:dyDescent="0.35">
      <c r="B152" s="20">
        <v>2</v>
      </c>
      <c r="C152" s="21">
        <v>20</v>
      </c>
      <c r="D152" s="21">
        <v>1</v>
      </c>
      <c r="E152" s="13" t="s">
        <v>37</v>
      </c>
      <c r="F152" s="14" t="s">
        <v>72</v>
      </c>
      <c r="I152" s="9" t="s">
        <v>24</v>
      </c>
      <c r="J152" s="10" t="s">
        <v>56</v>
      </c>
      <c r="K152" s="10" t="s">
        <v>130</v>
      </c>
      <c r="L152" s="10" t="str">
        <f t="shared" si="0"/>
        <v>***</v>
      </c>
    </row>
    <row r="153" spans="2:12" x14ac:dyDescent="0.35">
      <c r="B153" s="18">
        <v>2</v>
      </c>
      <c r="C153" s="19">
        <v>20</v>
      </c>
      <c r="D153" s="19">
        <v>1</v>
      </c>
      <c r="E153" s="10" t="s">
        <v>37</v>
      </c>
      <c r="F153" s="11" t="s">
        <v>63</v>
      </c>
      <c r="I153" s="12" t="s">
        <v>46</v>
      </c>
      <c r="J153" s="13" t="s">
        <v>56</v>
      </c>
      <c r="K153" s="13" t="s">
        <v>130</v>
      </c>
      <c r="L153" s="13" t="str">
        <f t="shared" si="0"/>
        <v>***</v>
      </c>
    </row>
    <row r="154" spans="2:12" x14ac:dyDescent="0.35">
      <c r="B154" s="20">
        <v>2</v>
      </c>
      <c r="C154" s="21">
        <v>20</v>
      </c>
      <c r="D154" s="21">
        <v>1</v>
      </c>
      <c r="E154" s="13" t="s">
        <v>37</v>
      </c>
      <c r="F154" s="14" t="s">
        <v>57</v>
      </c>
      <c r="I154" s="9" t="s">
        <v>28</v>
      </c>
      <c r="J154" s="10" t="s">
        <v>60</v>
      </c>
      <c r="K154" s="10" t="s">
        <v>130</v>
      </c>
      <c r="L154" s="10" t="str">
        <f t="shared" si="0"/>
        <v>***</v>
      </c>
    </row>
    <row r="155" spans="2:12" x14ac:dyDescent="0.35">
      <c r="B155" s="18">
        <v>5</v>
      </c>
      <c r="C155" s="19">
        <v>15</v>
      </c>
      <c r="D155" s="19">
        <v>1</v>
      </c>
      <c r="E155" s="10" t="s">
        <v>42</v>
      </c>
      <c r="F155" s="11" t="s">
        <v>59</v>
      </c>
      <c r="I155" s="12" t="s">
        <v>13</v>
      </c>
      <c r="J155" s="13" t="s">
        <v>60</v>
      </c>
      <c r="K155" s="13" t="s">
        <v>130</v>
      </c>
      <c r="L155" s="13" t="str">
        <f t="shared" si="0"/>
        <v>***</v>
      </c>
    </row>
    <row r="156" spans="2:12" x14ac:dyDescent="0.35">
      <c r="B156" s="20">
        <v>2</v>
      </c>
      <c r="C156" s="21">
        <v>14</v>
      </c>
      <c r="D156" s="21">
        <v>1</v>
      </c>
      <c r="E156" s="13" t="s">
        <v>39</v>
      </c>
      <c r="F156" s="14" t="s">
        <v>60</v>
      </c>
      <c r="I156" s="9" t="s">
        <v>38</v>
      </c>
      <c r="J156" s="10" t="s">
        <v>56</v>
      </c>
      <c r="K156" s="10" t="s">
        <v>130</v>
      </c>
      <c r="L156" s="10" t="str">
        <f t="shared" si="0"/>
        <v>***</v>
      </c>
    </row>
    <row r="157" spans="2:12" x14ac:dyDescent="0.35">
      <c r="B157" s="18">
        <v>2</v>
      </c>
      <c r="C157" s="19">
        <v>14</v>
      </c>
      <c r="D157" s="19">
        <v>1</v>
      </c>
      <c r="E157" s="10" t="s">
        <v>39</v>
      </c>
      <c r="F157" s="11" t="s">
        <v>56</v>
      </c>
      <c r="I157" s="12" t="s">
        <v>9</v>
      </c>
      <c r="J157" s="13" t="s">
        <v>57</v>
      </c>
      <c r="K157" s="13" t="s">
        <v>130</v>
      </c>
      <c r="L157" s="13" t="str">
        <f t="shared" si="0"/>
        <v>***</v>
      </c>
    </row>
    <row r="158" spans="2:12" x14ac:dyDescent="0.35">
      <c r="B158" s="20">
        <v>3</v>
      </c>
      <c r="C158" s="21">
        <v>17</v>
      </c>
      <c r="D158" s="21">
        <v>1</v>
      </c>
      <c r="E158" s="13" t="s">
        <v>40</v>
      </c>
      <c r="F158" s="14" t="s">
        <v>59</v>
      </c>
      <c r="I158" s="9" t="s">
        <v>5</v>
      </c>
      <c r="J158" s="10" t="s">
        <v>60</v>
      </c>
      <c r="K158" s="10" t="s">
        <v>130</v>
      </c>
      <c r="L158" s="10" t="str">
        <f t="shared" si="0"/>
        <v>***</v>
      </c>
    </row>
    <row r="159" spans="2:12" x14ac:dyDescent="0.35">
      <c r="B159" s="18">
        <v>3</v>
      </c>
      <c r="C159" s="19">
        <v>17</v>
      </c>
      <c r="D159" s="19">
        <v>1</v>
      </c>
      <c r="E159" s="10" t="s">
        <v>24</v>
      </c>
      <c r="F159" s="11" t="s">
        <v>70</v>
      </c>
      <c r="I159" s="12" t="s">
        <v>35</v>
      </c>
      <c r="J159" s="13" t="s">
        <v>60</v>
      </c>
      <c r="K159" s="13"/>
      <c r="L159" s="13" t="str">
        <f t="shared" si="0"/>
        <v>Chevrolet</v>
      </c>
    </row>
    <row r="160" spans="2:12" x14ac:dyDescent="0.35">
      <c r="B160" s="20">
        <v>4</v>
      </c>
      <c r="C160" s="21">
        <v>23</v>
      </c>
      <c r="D160" s="21">
        <v>1</v>
      </c>
      <c r="E160" s="13" t="s">
        <v>18</v>
      </c>
      <c r="F160" s="14" t="s">
        <v>60</v>
      </c>
      <c r="I160" s="9" t="s">
        <v>33</v>
      </c>
      <c r="J160" s="10" t="s">
        <v>60</v>
      </c>
      <c r="K160" s="10"/>
      <c r="L160" s="10" t="str">
        <f t="shared" si="0"/>
        <v>Chevrolet</v>
      </c>
    </row>
    <row r="161" spans="2:12" x14ac:dyDescent="0.35">
      <c r="B161" s="18">
        <v>3</v>
      </c>
      <c r="C161" s="19">
        <v>17</v>
      </c>
      <c r="D161" s="19">
        <v>1</v>
      </c>
      <c r="E161" s="10" t="s">
        <v>21</v>
      </c>
      <c r="F161" s="11" t="s">
        <v>57</v>
      </c>
      <c r="I161" s="12" t="s">
        <v>7</v>
      </c>
      <c r="J161" s="13" t="s">
        <v>60</v>
      </c>
      <c r="K161" s="13"/>
      <c r="L161" s="13" t="str">
        <f t="shared" si="0"/>
        <v>Chevrolet</v>
      </c>
    </row>
    <row r="162" spans="2:12" x14ac:dyDescent="0.35">
      <c r="B162" s="20">
        <v>2</v>
      </c>
      <c r="C162" s="21">
        <v>9</v>
      </c>
      <c r="D162" s="21">
        <v>1</v>
      </c>
      <c r="E162" s="13" t="s">
        <v>38</v>
      </c>
      <c r="F162" s="14" t="s">
        <v>75</v>
      </c>
      <c r="I162" s="9" t="s">
        <v>11</v>
      </c>
      <c r="J162" s="10" t="s">
        <v>60</v>
      </c>
      <c r="K162" s="10"/>
      <c r="L162" s="10" t="str">
        <f t="shared" si="0"/>
        <v>Chevrolet</v>
      </c>
    </row>
    <row r="163" spans="2:12" x14ac:dyDescent="0.35">
      <c r="B163" s="18">
        <v>2</v>
      </c>
      <c r="C163" s="19">
        <v>9</v>
      </c>
      <c r="D163" s="19">
        <v>1</v>
      </c>
      <c r="E163" s="10" t="s">
        <v>38</v>
      </c>
      <c r="F163" s="11" t="s">
        <v>68</v>
      </c>
      <c r="I163" s="12" t="s">
        <v>18</v>
      </c>
      <c r="J163" s="13" t="s">
        <v>60</v>
      </c>
      <c r="K163" s="13"/>
      <c r="L163" s="13" t="str">
        <f t="shared" si="0"/>
        <v>Chevrolet</v>
      </c>
    </row>
    <row r="164" spans="2:12" x14ac:dyDescent="0.35">
      <c r="B164" s="20">
        <v>2</v>
      </c>
      <c r="C164" s="21">
        <v>5</v>
      </c>
      <c r="D164" s="21">
        <v>1</v>
      </c>
      <c r="E164" s="13" t="s">
        <v>19</v>
      </c>
      <c r="F164" s="14" t="s">
        <v>56</v>
      </c>
      <c r="I164" s="9" t="s">
        <v>31</v>
      </c>
      <c r="J164" s="10" t="s">
        <v>60</v>
      </c>
      <c r="K164" s="10"/>
      <c r="L164" s="10" t="str">
        <f t="shared" si="0"/>
        <v>Chevrolet</v>
      </c>
    </row>
    <row r="165" spans="2:12" x14ac:dyDescent="0.35">
      <c r="B165" s="18">
        <v>5</v>
      </c>
      <c r="C165" s="19">
        <v>69</v>
      </c>
      <c r="D165" s="19">
        <v>1</v>
      </c>
      <c r="E165" s="10" t="s">
        <v>9</v>
      </c>
      <c r="F165" s="11" t="s">
        <v>58</v>
      </c>
      <c r="I165" s="12" t="s">
        <v>17</v>
      </c>
      <c r="J165" s="13" t="s">
        <v>60</v>
      </c>
      <c r="K165" s="13"/>
      <c r="L165" s="13" t="str">
        <f t="shared" si="0"/>
        <v>Chevrolet</v>
      </c>
    </row>
    <row r="166" spans="2:12" x14ac:dyDescent="0.35">
      <c r="B166" s="20">
        <v>5</v>
      </c>
      <c r="C166" s="21">
        <v>69</v>
      </c>
      <c r="D166" s="21">
        <v>1</v>
      </c>
      <c r="E166" s="13" t="s">
        <v>9</v>
      </c>
      <c r="F166" s="14" t="s">
        <v>57</v>
      </c>
      <c r="I166" s="9" t="s">
        <v>16</v>
      </c>
      <c r="J166" s="10" t="s">
        <v>60</v>
      </c>
      <c r="K166" s="10"/>
      <c r="L166" s="10" t="str">
        <f t="shared" si="0"/>
        <v>Chevrolet</v>
      </c>
    </row>
    <row r="167" spans="2:12" x14ac:dyDescent="0.35">
      <c r="B167" s="18">
        <v>3</v>
      </c>
      <c r="C167" s="19">
        <v>20</v>
      </c>
      <c r="D167" s="19">
        <v>1</v>
      </c>
      <c r="E167" s="10" t="s">
        <v>32</v>
      </c>
      <c r="F167" s="11" t="s">
        <v>76</v>
      </c>
      <c r="I167" s="12" t="s">
        <v>2</v>
      </c>
      <c r="J167" s="13" t="s">
        <v>60</v>
      </c>
      <c r="K167" s="13"/>
      <c r="L167" s="13" t="str">
        <f t="shared" si="0"/>
        <v>Chevrolet</v>
      </c>
    </row>
    <row r="168" spans="2:12" x14ac:dyDescent="0.35">
      <c r="B168" s="20">
        <v>6</v>
      </c>
      <c r="C168" s="21">
        <v>33</v>
      </c>
      <c r="D168" s="21">
        <v>1</v>
      </c>
      <c r="E168" s="13" t="s">
        <v>31</v>
      </c>
      <c r="F168" s="14" t="s">
        <v>60</v>
      </c>
      <c r="I168" s="9" t="s">
        <v>25</v>
      </c>
      <c r="J168" s="10" t="s">
        <v>60</v>
      </c>
      <c r="K168" s="10"/>
      <c r="L168" s="10" t="str">
        <f t="shared" si="0"/>
        <v>Chevrolet</v>
      </c>
    </row>
    <row r="169" spans="2:12" x14ac:dyDescent="0.35">
      <c r="B169" s="18">
        <v>2</v>
      </c>
      <c r="C169" s="19">
        <v>16</v>
      </c>
      <c r="D169" s="19">
        <v>1</v>
      </c>
      <c r="E169" s="10" t="s">
        <v>4</v>
      </c>
      <c r="F169" s="11" t="s">
        <v>73</v>
      </c>
      <c r="I169" s="12" t="s">
        <v>12</v>
      </c>
      <c r="J169" s="13" t="s">
        <v>56</v>
      </c>
      <c r="K169" s="13"/>
      <c r="L169" s="13" t="str">
        <f t="shared" si="0"/>
        <v>Dodge</v>
      </c>
    </row>
    <row r="170" spans="2:12" x14ac:dyDescent="0.35">
      <c r="B170" s="20">
        <v>2</v>
      </c>
      <c r="C170" s="21">
        <v>16</v>
      </c>
      <c r="D170" s="21">
        <v>1</v>
      </c>
      <c r="E170" s="13" t="s">
        <v>4</v>
      </c>
      <c r="F170" s="14" t="s">
        <v>64</v>
      </c>
      <c r="I170" s="9" t="s">
        <v>15</v>
      </c>
      <c r="J170" s="10" t="s">
        <v>56</v>
      </c>
      <c r="K170" s="10"/>
      <c r="L170" s="10" t="str">
        <f t="shared" si="0"/>
        <v>Dodge</v>
      </c>
    </row>
    <row r="171" spans="2:12" x14ac:dyDescent="0.35">
      <c r="B171" s="18">
        <v>2</v>
      </c>
      <c r="C171" s="19">
        <v>16</v>
      </c>
      <c r="D171" s="19">
        <v>1</v>
      </c>
      <c r="E171" s="10" t="s">
        <v>4</v>
      </c>
      <c r="F171" s="11" t="s">
        <v>58</v>
      </c>
      <c r="I171" s="12" t="s">
        <v>36</v>
      </c>
      <c r="J171" s="13" t="s">
        <v>56</v>
      </c>
      <c r="K171" s="13"/>
      <c r="L171" s="13" t="str">
        <f t="shared" si="0"/>
        <v>Dodge</v>
      </c>
    </row>
    <row r="172" spans="2:12" x14ac:dyDescent="0.35">
      <c r="B172" s="20">
        <v>2</v>
      </c>
      <c r="C172" s="21">
        <v>7</v>
      </c>
      <c r="D172" s="21">
        <v>1</v>
      </c>
      <c r="E172" s="13" t="s">
        <v>8</v>
      </c>
      <c r="F172" s="14" t="s">
        <v>58</v>
      </c>
      <c r="I172" s="9" t="s">
        <v>19</v>
      </c>
      <c r="J172" s="10" t="s">
        <v>56</v>
      </c>
      <c r="K172" s="10"/>
      <c r="L172" s="10" t="str">
        <f t="shared" si="0"/>
        <v>Dodge</v>
      </c>
    </row>
    <row r="173" spans="2:12" x14ac:dyDescent="0.35">
      <c r="B173" s="18">
        <v>3</v>
      </c>
      <c r="C173" s="19">
        <v>25</v>
      </c>
      <c r="D173" s="19">
        <v>1</v>
      </c>
      <c r="E173" s="10" t="s">
        <v>22</v>
      </c>
      <c r="F173" s="11" t="s">
        <v>58</v>
      </c>
      <c r="I173" s="12" t="s">
        <v>45</v>
      </c>
      <c r="J173" s="13" t="s">
        <v>56</v>
      </c>
      <c r="K173" s="13"/>
      <c r="L173" s="13" t="str">
        <f t="shared" si="0"/>
        <v>Dodge</v>
      </c>
    </row>
    <row r="174" spans="2:12" x14ac:dyDescent="0.35">
      <c r="B174" s="20">
        <v>3</v>
      </c>
      <c r="C174" s="21">
        <v>23</v>
      </c>
      <c r="D174" s="21">
        <v>1</v>
      </c>
      <c r="E174" s="13" t="s">
        <v>17</v>
      </c>
      <c r="F174" s="14" t="s">
        <v>64</v>
      </c>
      <c r="I174" s="9" t="s">
        <v>42</v>
      </c>
      <c r="J174" s="10" t="s">
        <v>59</v>
      </c>
      <c r="K174" s="10"/>
      <c r="L174" s="10" t="str">
        <f t="shared" si="0"/>
        <v>Ford</v>
      </c>
    </row>
    <row r="175" spans="2:12" x14ac:dyDescent="0.35">
      <c r="B175" s="18">
        <v>9</v>
      </c>
      <c r="C175" s="19">
        <v>98</v>
      </c>
      <c r="D175" s="19">
        <v>1</v>
      </c>
      <c r="E175" s="10" t="s">
        <v>16</v>
      </c>
      <c r="F175" s="11" t="s">
        <v>60</v>
      </c>
      <c r="I175" s="12" t="s">
        <v>40</v>
      </c>
      <c r="J175" s="13" t="s">
        <v>59</v>
      </c>
      <c r="K175" s="13"/>
      <c r="L175" s="13" t="str">
        <f t="shared" si="0"/>
        <v>Ford</v>
      </c>
    </row>
    <row r="176" spans="2:12" x14ac:dyDescent="0.35">
      <c r="B176" s="20">
        <v>5</v>
      </c>
      <c r="C176" s="21">
        <v>24</v>
      </c>
      <c r="D176" s="21">
        <v>1</v>
      </c>
      <c r="E176" s="13" t="s">
        <v>34</v>
      </c>
      <c r="F176" s="14" t="s">
        <v>59</v>
      </c>
      <c r="I176" s="9" t="s">
        <v>43</v>
      </c>
      <c r="J176" s="10" t="s">
        <v>59</v>
      </c>
      <c r="K176" s="10"/>
      <c r="L176" s="10" t="str">
        <f t="shared" si="0"/>
        <v>Ford</v>
      </c>
    </row>
    <row r="177" spans="1:13" x14ac:dyDescent="0.35">
      <c r="B177" s="18">
        <v>5</v>
      </c>
      <c r="C177" s="19">
        <v>28</v>
      </c>
      <c r="D177" s="19">
        <v>1</v>
      </c>
      <c r="E177" s="10" t="s">
        <v>2</v>
      </c>
      <c r="F177" s="11" t="s">
        <v>60</v>
      </c>
      <c r="I177" s="12" t="s">
        <v>34</v>
      </c>
      <c r="J177" s="13" t="s">
        <v>59</v>
      </c>
      <c r="K177" s="13"/>
      <c r="L177" s="13" t="str">
        <f t="shared" si="0"/>
        <v>Ford</v>
      </c>
    </row>
    <row r="178" spans="1:13" x14ac:dyDescent="0.35">
      <c r="B178" s="20">
        <v>2</v>
      </c>
      <c r="C178" s="21">
        <v>10</v>
      </c>
      <c r="D178" s="21">
        <v>1</v>
      </c>
      <c r="E178" s="13" t="s">
        <v>30</v>
      </c>
      <c r="F178" s="14" t="s">
        <v>68</v>
      </c>
      <c r="I178" s="9" t="s">
        <v>6</v>
      </c>
      <c r="J178" s="10" t="s">
        <v>57</v>
      </c>
      <c r="K178" s="10"/>
      <c r="L178" s="10" t="str">
        <f t="shared" si="0"/>
        <v>Pontiac</v>
      </c>
    </row>
    <row r="179" spans="1:13" x14ac:dyDescent="0.35">
      <c r="I179" s="12" t="s">
        <v>26</v>
      </c>
      <c r="J179" s="13" t="s">
        <v>57</v>
      </c>
      <c r="K179" s="13"/>
      <c r="L179" s="13" t="str">
        <f t="shared" si="0"/>
        <v>Pontiac</v>
      </c>
    </row>
    <row r="180" spans="1:13" x14ac:dyDescent="0.35">
      <c r="I180" s="9" t="s">
        <v>21</v>
      </c>
      <c r="J180" s="10" t="s">
        <v>57</v>
      </c>
      <c r="K180" s="10"/>
      <c r="L180" s="10" t="str">
        <f t="shared" si="0"/>
        <v>Pontiac</v>
      </c>
    </row>
    <row r="181" spans="1:13" x14ac:dyDescent="0.35">
      <c r="I181" s="12" t="s">
        <v>30</v>
      </c>
      <c r="J181" s="13" t="s">
        <v>57</v>
      </c>
      <c r="K181" s="13"/>
      <c r="L181" s="13" t="str">
        <f t="shared" si="0"/>
        <v>Pontiac</v>
      </c>
    </row>
    <row r="182" spans="1:13" x14ac:dyDescent="0.35">
      <c r="I182" s="9" t="s">
        <v>10</v>
      </c>
      <c r="J182" s="10" t="s">
        <v>58</v>
      </c>
      <c r="K182" s="10"/>
      <c r="L182" s="10" t="str">
        <f t="shared" si="0"/>
        <v>Toyota</v>
      </c>
    </row>
    <row r="183" spans="1:13" x14ac:dyDescent="0.35">
      <c r="I183" s="12" t="s">
        <v>3</v>
      </c>
      <c r="J183" s="13" t="s">
        <v>58</v>
      </c>
      <c r="K183" s="13"/>
      <c r="L183" s="13" t="str">
        <f t="shared" si="0"/>
        <v>Toyota</v>
      </c>
    </row>
    <row r="184" spans="1:13" x14ac:dyDescent="0.35">
      <c r="I184" s="9" t="s">
        <v>23</v>
      </c>
      <c r="J184" s="10" t="s">
        <v>58</v>
      </c>
      <c r="K184" s="10"/>
      <c r="L184" s="10" t="str">
        <f t="shared" si="0"/>
        <v>Toyota</v>
      </c>
    </row>
    <row r="185" spans="1:13" x14ac:dyDescent="0.35">
      <c r="I185" s="12" t="s">
        <v>32</v>
      </c>
      <c r="J185" s="13" t="s">
        <v>58</v>
      </c>
      <c r="K185" s="13"/>
      <c r="L185" s="13" t="str">
        <f t="shared" si="0"/>
        <v>Toyota</v>
      </c>
    </row>
    <row r="186" spans="1:13" x14ac:dyDescent="0.35">
      <c r="I186" s="9" t="s">
        <v>4</v>
      </c>
      <c r="J186" s="10" t="s">
        <v>58</v>
      </c>
      <c r="K186" s="10"/>
      <c r="L186" s="10" t="str">
        <f t="shared" si="0"/>
        <v>Toyota</v>
      </c>
    </row>
    <row r="187" spans="1:13" x14ac:dyDescent="0.35">
      <c r="I187" s="12" t="s">
        <v>8</v>
      </c>
      <c r="J187" s="13" t="s">
        <v>58</v>
      </c>
      <c r="K187" s="13"/>
      <c r="L187" s="13" t="str">
        <f t="shared" si="0"/>
        <v>Toyota</v>
      </c>
    </row>
    <row r="188" spans="1:13" x14ac:dyDescent="0.35">
      <c r="I188" s="9" t="s">
        <v>22</v>
      </c>
      <c r="J188" s="10" t="s">
        <v>58</v>
      </c>
      <c r="K188" s="10"/>
      <c r="L188" s="10" t="str">
        <f t="shared" si="0"/>
        <v>Toyota</v>
      </c>
    </row>
    <row r="191" spans="1:13" x14ac:dyDescent="0.3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</row>
    <row r="192" spans="1:13" x14ac:dyDescent="0.35">
      <c r="A192" s="4" t="s">
        <v>127</v>
      </c>
      <c r="B192" s="4" t="s">
        <v>163</v>
      </c>
    </row>
    <row r="193" spans="2:6" x14ac:dyDescent="0.35">
      <c r="B193" s="4" t="s">
        <v>104</v>
      </c>
      <c r="D193" s="4" t="s">
        <v>103</v>
      </c>
    </row>
    <row r="194" spans="2:6" x14ac:dyDescent="0.35">
      <c r="B194" s="4" t="s">
        <v>0</v>
      </c>
      <c r="C194" s="4" t="s">
        <v>77</v>
      </c>
      <c r="D194" s="4" t="s">
        <v>0</v>
      </c>
      <c r="E194" s="4" t="s">
        <v>102</v>
      </c>
    </row>
    <row r="195" spans="2:6" ht="16" customHeight="1" x14ac:dyDescent="0.35">
      <c r="B195" s="4">
        <v>1</v>
      </c>
      <c r="C195" s="4">
        <v>310</v>
      </c>
      <c r="D195" s="4">
        <v>1</v>
      </c>
      <c r="E195" s="4">
        <v>464</v>
      </c>
    </row>
    <row r="196" spans="2:6" x14ac:dyDescent="0.35">
      <c r="B196" s="4">
        <v>2</v>
      </c>
      <c r="C196" s="4">
        <v>262</v>
      </c>
      <c r="D196" s="4">
        <v>2</v>
      </c>
      <c r="E196" s="4">
        <v>400</v>
      </c>
    </row>
    <row r="197" spans="2:6" x14ac:dyDescent="0.35">
      <c r="B197" s="4">
        <v>3</v>
      </c>
      <c r="C197" s="4">
        <v>229</v>
      </c>
      <c r="D197" s="4">
        <v>3</v>
      </c>
      <c r="E197" s="4">
        <v>342</v>
      </c>
    </row>
    <row r="198" spans="2:6" x14ac:dyDescent="0.35">
      <c r="B198" s="4">
        <v>4</v>
      </c>
      <c r="C198" s="4">
        <v>199</v>
      </c>
      <c r="D198" s="4">
        <v>4</v>
      </c>
      <c r="E198" s="4">
        <v>306</v>
      </c>
    </row>
    <row r="199" spans="2:6" x14ac:dyDescent="0.35">
      <c r="B199" s="4" t="s">
        <v>100</v>
      </c>
      <c r="C199" s="4">
        <f>SUM(C195:C198)</f>
        <v>1000</v>
      </c>
      <c r="D199" s="4" t="s">
        <v>105</v>
      </c>
      <c r="E199" s="4">
        <f>SUM(E195:E198)</f>
        <v>1512</v>
      </c>
    </row>
    <row r="201" spans="2:6" x14ac:dyDescent="0.35">
      <c r="B201" s="4" t="s">
        <v>110</v>
      </c>
    </row>
    <row r="202" spans="2:6" ht="24.5" x14ac:dyDescent="0.35">
      <c r="B202" s="22" t="s">
        <v>106</v>
      </c>
      <c r="C202" s="22" t="s">
        <v>107</v>
      </c>
      <c r="D202" s="22" t="s">
        <v>108</v>
      </c>
      <c r="E202" s="1" t="s">
        <v>109</v>
      </c>
    </row>
    <row r="203" spans="2:6" x14ac:dyDescent="0.35">
      <c r="B203" s="18">
        <v>1</v>
      </c>
      <c r="C203" s="23">
        <v>310</v>
      </c>
      <c r="D203" s="23">
        <v>464</v>
      </c>
      <c r="E203" s="24">
        <f>D203/C203</f>
        <v>1.4967741935483871</v>
      </c>
    </row>
    <row r="204" spans="2:6" x14ac:dyDescent="0.35">
      <c r="B204" s="20">
        <v>2</v>
      </c>
      <c r="C204" s="25">
        <v>262</v>
      </c>
      <c r="D204" s="25">
        <v>400</v>
      </c>
      <c r="E204" s="24">
        <f t="shared" ref="E204:E206" si="1">D204/C204</f>
        <v>1.5267175572519085</v>
      </c>
    </row>
    <row r="205" spans="2:6" x14ac:dyDescent="0.35">
      <c r="B205" s="18">
        <v>3</v>
      </c>
      <c r="C205" s="23">
        <v>229</v>
      </c>
      <c r="D205" s="23">
        <v>342</v>
      </c>
      <c r="E205" s="24">
        <f t="shared" si="1"/>
        <v>1.4934497816593886</v>
      </c>
    </row>
    <row r="206" spans="2:6" x14ac:dyDescent="0.35">
      <c r="B206" s="26">
        <v>4</v>
      </c>
      <c r="C206" s="27">
        <v>199</v>
      </c>
      <c r="D206" s="27">
        <v>306</v>
      </c>
      <c r="E206" s="24">
        <f t="shared" si="1"/>
        <v>1.5376884422110553</v>
      </c>
    </row>
    <row r="208" spans="2:6" x14ac:dyDescent="0.35">
      <c r="B208" s="4" t="s">
        <v>0</v>
      </c>
      <c r="C208" s="4" t="s">
        <v>131</v>
      </c>
      <c r="D208" s="4" t="s">
        <v>132</v>
      </c>
      <c r="E208" s="4" t="s">
        <v>133</v>
      </c>
      <c r="F208" s="4" t="s">
        <v>134</v>
      </c>
    </row>
    <row r="209" spans="1:13" x14ac:dyDescent="0.35">
      <c r="B209" s="4">
        <v>1</v>
      </c>
      <c r="C209" s="4">
        <v>1000</v>
      </c>
      <c r="D209" s="4">
        <v>310</v>
      </c>
      <c r="E209" s="4" t="s">
        <v>78</v>
      </c>
      <c r="F209" s="4" t="s">
        <v>78</v>
      </c>
    </row>
    <row r="210" spans="1:13" x14ac:dyDescent="0.35">
      <c r="B210" s="4">
        <v>2</v>
      </c>
      <c r="C210" s="4">
        <v>1000</v>
      </c>
      <c r="D210" s="4">
        <v>262</v>
      </c>
      <c r="E210" s="4">
        <v>310</v>
      </c>
      <c r="F210" s="4">
        <v>-0.15</v>
      </c>
    </row>
    <row r="211" spans="1:13" x14ac:dyDescent="0.35">
      <c r="B211" s="4">
        <v>3</v>
      </c>
      <c r="C211" s="4">
        <v>1000</v>
      </c>
      <c r="D211" s="4">
        <v>229</v>
      </c>
      <c r="E211" s="4">
        <v>262</v>
      </c>
      <c r="F211" s="4">
        <v>-0.13</v>
      </c>
    </row>
    <row r="212" spans="1:13" x14ac:dyDescent="0.35">
      <c r="B212" s="4">
        <v>4</v>
      </c>
      <c r="C212" s="4">
        <v>1000</v>
      </c>
      <c r="D212" s="4">
        <v>199</v>
      </c>
      <c r="E212" s="4">
        <v>229</v>
      </c>
      <c r="F212" s="4">
        <v>-0.13</v>
      </c>
    </row>
    <row r="214" spans="1:13" x14ac:dyDescent="0.3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</row>
    <row r="215" spans="1:13" x14ac:dyDescent="0.35">
      <c r="A215" s="4" t="s">
        <v>135</v>
      </c>
      <c r="B215" s="4" t="s">
        <v>164</v>
      </c>
    </row>
    <row r="216" spans="1:13" x14ac:dyDescent="0.35">
      <c r="B216" s="4" t="s">
        <v>0</v>
      </c>
      <c r="C216" s="4" t="s">
        <v>136</v>
      </c>
      <c r="D216" s="4" t="s">
        <v>137</v>
      </c>
      <c r="E216" s="4" t="s">
        <v>79</v>
      </c>
    </row>
    <row r="217" spans="1:13" x14ac:dyDescent="0.35">
      <c r="B217" s="4">
        <v>1</v>
      </c>
      <c r="C217" s="4">
        <v>18.032549899999999</v>
      </c>
      <c r="D217" s="4" t="s">
        <v>78</v>
      </c>
      <c r="E217" s="4" t="s">
        <v>78</v>
      </c>
    </row>
    <row r="218" spans="1:13" x14ac:dyDescent="0.35">
      <c r="B218" s="4">
        <v>2</v>
      </c>
      <c r="C218" s="4">
        <v>13.12299576</v>
      </c>
      <c r="D218" s="4">
        <v>18.032549899999999</v>
      </c>
      <c r="E218" s="4">
        <v>-27</v>
      </c>
    </row>
    <row r="219" spans="1:13" x14ac:dyDescent="0.35">
      <c r="B219" s="4">
        <v>3</v>
      </c>
      <c r="C219" s="4">
        <v>8.8822988400000007</v>
      </c>
      <c r="D219" s="4">
        <v>13.12299576</v>
      </c>
      <c r="E219" s="4">
        <v>-32</v>
      </c>
    </row>
    <row r="220" spans="1:13" x14ac:dyDescent="0.35">
      <c r="B220" s="4">
        <v>4</v>
      </c>
      <c r="C220" s="4">
        <v>8.5731492800000009</v>
      </c>
      <c r="D220" s="4">
        <v>8.8822988400000007</v>
      </c>
      <c r="E220" s="4">
        <v>-3</v>
      </c>
    </row>
    <row r="222" spans="1:13" x14ac:dyDescent="0.35">
      <c r="B222" s="4" t="s">
        <v>101</v>
      </c>
      <c r="C222" s="4">
        <v>48.610993780000008</v>
      </c>
      <c r="D222" s="4" t="s">
        <v>138</v>
      </c>
      <c r="E222" s="4">
        <v>-1.103375237156724</v>
      </c>
    </row>
    <row r="232" spans="1:13" x14ac:dyDescent="0.3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</row>
    <row r="233" spans="1:13" x14ac:dyDescent="0.35">
      <c r="A233" s="4" t="s">
        <v>139</v>
      </c>
      <c r="B233" s="4" t="s">
        <v>165</v>
      </c>
    </row>
    <row r="234" spans="1:13" x14ac:dyDescent="0.35">
      <c r="B234" s="4" t="s">
        <v>0</v>
      </c>
      <c r="C234" s="4" t="s">
        <v>140</v>
      </c>
      <c r="D234" s="4" t="s">
        <v>141</v>
      </c>
      <c r="E234" s="4" t="s">
        <v>142</v>
      </c>
      <c r="F234" s="4" t="s">
        <v>143</v>
      </c>
      <c r="G234" s="4" t="s">
        <v>144</v>
      </c>
      <c r="H234" s="4" t="s">
        <v>145</v>
      </c>
      <c r="I234" s="4" t="s">
        <v>146</v>
      </c>
    </row>
    <row r="235" spans="1:13" x14ac:dyDescent="0.35">
      <c r="B235" s="4">
        <v>1</v>
      </c>
      <c r="C235" s="4">
        <v>310</v>
      </c>
      <c r="D235" s="4" t="s">
        <v>78</v>
      </c>
      <c r="E235" s="4" t="s">
        <v>78</v>
      </c>
      <c r="F235" s="4">
        <v>18032549.899999999</v>
      </c>
      <c r="G235" s="4">
        <v>180.32549899999998</v>
      </c>
      <c r="H235" s="4" t="s">
        <v>78</v>
      </c>
      <c r="I235" s="4" t="s">
        <v>78</v>
      </c>
    </row>
    <row r="236" spans="1:13" x14ac:dyDescent="0.35">
      <c r="B236" s="4">
        <v>2</v>
      </c>
      <c r="C236" s="4">
        <v>262</v>
      </c>
      <c r="D236" s="4">
        <v>310</v>
      </c>
      <c r="E236" s="4">
        <v>-15</v>
      </c>
      <c r="F236" s="4">
        <v>13122995.76</v>
      </c>
      <c r="G236" s="4">
        <v>131.22995760000001</v>
      </c>
      <c r="H236" s="4">
        <v>18032549.899999999</v>
      </c>
      <c r="I236" s="4">
        <v>-27</v>
      </c>
    </row>
    <row r="237" spans="1:13" x14ac:dyDescent="0.35">
      <c r="B237" s="4">
        <v>3</v>
      </c>
      <c r="C237" s="4">
        <v>229</v>
      </c>
      <c r="D237" s="4">
        <v>262</v>
      </c>
      <c r="E237" s="4">
        <v>-13</v>
      </c>
      <c r="F237" s="4">
        <v>8882298.8399999999</v>
      </c>
      <c r="G237" s="4">
        <v>88.8229884</v>
      </c>
      <c r="H237" s="4">
        <v>13122995.76</v>
      </c>
      <c r="I237" s="4">
        <v>-32</v>
      </c>
    </row>
    <row r="238" spans="1:13" x14ac:dyDescent="0.35">
      <c r="B238" s="4">
        <v>4</v>
      </c>
      <c r="C238" s="4">
        <v>199</v>
      </c>
      <c r="D238" s="4">
        <v>229</v>
      </c>
      <c r="E238" s="4">
        <v>-13</v>
      </c>
      <c r="F238" s="4">
        <v>8573149.2799999993</v>
      </c>
      <c r="G238" s="4">
        <v>85.731492799999998</v>
      </c>
      <c r="H238" s="4">
        <v>8882298.8399999999</v>
      </c>
      <c r="I238" s="4">
        <v>-3</v>
      </c>
    </row>
    <row r="254" spans="1:13" x14ac:dyDescent="0.3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</row>
    <row r="255" spans="1:13" x14ac:dyDescent="0.35">
      <c r="A255" s="4" t="s">
        <v>147</v>
      </c>
      <c r="B255" s="4" t="s">
        <v>166</v>
      </c>
    </row>
    <row r="257" spans="2:4" x14ac:dyDescent="0.35">
      <c r="B257" s="4" t="s">
        <v>50</v>
      </c>
      <c r="C257" s="4" t="s">
        <v>80</v>
      </c>
      <c r="D257" s="4" t="s">
        <v>128</v>
      </c>
    </row>
    <row r="258" spans="2:4" x14ac:dyDescent="0.35">
      <c r="B258" s="4" t="s">
        <v>86</v>
      </c>
      <c r="C258" s="4">
        <v>0.58399999999999996</v>
      </c>
      <c r="D258" s="4" t="str">
        <f t="shared" ref="D258:D273" si="2">IF(C258&lt;0.6019,"Under 6% is low",IF(C258&lt;0.62,"Between 6 &amp; 6.2% is average","Above 6.2% is high"))</f>
        <v>Under 6% is low</v>
      </c>
    </row>
    <row r="259" spans="2:4" x14ac:dyDescent="0.35">
      <c r="B259" s="4" t="s">
        <v>93</v>
      </c>
      <c r="C259" s="4">
        <v>0.58499999999999996</v>
      </c>
      <c r="D259" s="4" t="str">
        <f t="shared" si="2"/>
        <v>Under 6% is low</v>
      </c>
    </row>
    <row r="260" spans="2:4" x14ac:dyDescent="0.35">
      <c r="B260" s="4" t="s">
        <v>85</v>
      </c>
      <c r="C260" s="4">
        <v>0.59979199999999999</v>
      </c>
      <c r="D260" s="4" t="str">
        <f t="shared" si="2"/>
        <v>Under 6% is low</v>
      </c>
    </row>
    <row r="261" spans="2:4" x14ac:dyDescent="0.35">
      <c r="B261" s="4" t="s">
        <v>95</v>
      </c>
      <c r="C261" s="4">
        <v>0.60083299999999995</v>
      </c>
      <c r="D261" s="4" t="str">
        <f t="shared" si="2"/>
        <v>Under 6% is low</v>
      </c>
    </row>
    <row r="262" spans="2:4" x14ac:dyDescent="0.35">
      <c r="B262" s="4" t="s">
        <v>89</v>
      </c>
      <c r="C262" s="4">
        <v>0.60738199999999998</v>
      </c>
      <c r="D262" s="4" t="str">
        <f>IF(C262&lt;0.6019,"Under 6% is low",IF(C262&lt;0.62,"Between 6 &amp; 6.2% is average","Above 6.2% is high"))</f>
        <v>Between 6 &amp; 6.2% is average</v>
      </c>
    </row>
    <row r="263" spans="2:4" x14ac:dyDescent="0.35">
      <c r="B263" s="4" t="s">
        <v>82</v>
      </c>
      <c r="C263" s="4">
        <v>0.609545</v>
      </c>
      <c r="D263" s="4" t="str">
        <f t="shared" si="2"/>
        <v>Between 6 &amp; 6.2% is average</v>
      </c>
    </row>
    <row r="264" spans="2:4" x14ac:dyDescent="0.35">
      <c r="B264" s="4" t="s">
        <v>94</v>
      </c>
      <c r="C264" s="4">
        <v>0.61023300000000003</v>
      </c>
      <c r="D264" s="4" t="str">
        <f t="shared" si="2"/>
        <v>Between 6 &amp; 6.2% is average</v>
      </c>
    </row>
    <row r="265" spans="2:4" x14ac:dyDescent="0.35">
      <c r="B265" s="4" t="s">
        <v>84</v>
      </c>
      <c r="C265" s="4">
        <v>0.61448999999999998</v>
      </c>
      <c r="D265" s="4" t="str">
        <f t="shared" si="2"/>
        <v>Between 6 &amp; 6.2% is average</v>
      </c>
    </row>
    <row r="266" spans="2:4" x14ac:dyDescent="0.35">
      <c r="B266" s="4" t="s">
        <v>87</v>
      </c>
      <c r="C266" s="4">
        <v>0.61461500000000002</v>
      </c>
      <c r="D266" s="4" t="str">
        <f t="shared" si="2"/>
        <v>Between 6 &amp; 6.2% is average</v>
      </c>
    </row>
    <row r="267" spans="2:4" x14ac:dyDescent="0.35">
      <c r="B267" s="4" t="s">
        <v>81</v>
      </c>
      <c r="C267" s="4">
        <v>0.61632699999999996</v>
      </c>
      <c r="D267" s="4" t="str">
        <f t="shared" si="2"/>
        <v>Between 6 &amp; 6.2% is average</v>
      </c>
    </row>
    <row r="268" spans="2:4" x14ac:dyDescent="0.35">
      <c r="B268" s="4" t="s">
        <v>88</v>
      </c>
      <c r="C268" s="4">
        <v>0.62062499999999998</v>
      </c>
      <c r="D268" s="4" t="str">
        <f t="shared" si="2"/>
        <v>Above 6.2% is high</v>
      </c>
    </row>
    <row r="269" spans="2:4" x14ac:dyDescent="0.35">
      <c r="B269" s="4" t="s">
        <v>83</v>
      </c>
      <c r="C269" s="4">
        <v>0.622174</v>
      </c>
      <c r="D269" s="4" t="str">
        <f t="shared" si="2"/>
        <v>Above 6.2% is high</v>
      </c>
    </row>
    <row r="270" spans="2:4" x14ac:dyDescent="0.35">
      <c r="B270" s="4" t="s">
        <v>96</v>
      </c>
      <c r="C270" s="4">
        <v>0.62346900000000005</v>
      </c>
      <c r="D270" s="4" t="str">
        <f t="shared" si="2"/>
        <v>Above 6.2% is high</v>
      </c>
    </row>
    <row r="271" spans="2:4" x14ac:dyDescent="0.35">
      <c r="B271" s="4" t="s">
        <v>91</v>
      </c>
      <c r="C271" s="4">
        <v>0.62421899999999997</v>
      </c>
      <c r="D271" s="4" t="str">
        <f t="shared" si="2"/>
        <v>Above 6.2% is high</v>
      </c>
    </row>
    <row r="272" spans="2:4" x14ac:dyDescent="0.35">
      <c r="B272" s="4" t="s">
        <v>92</v>
      </c>
      <c r="C272" s="4">
        <v>0.62949999999999995</v>
      </c>
      <c r="D272" s="4" t="str">
        <f t="shared" si="2"/>
        <v>Above 6.2% is high</v>
      </c>
    </row>
    <row r="273" spans="1:13" x14ac:dyDescent="0.35">
      <c r="B273" s="4" t="s">
        <v>90</v>
      </c>
      <c r="C273" s="4">
        <v>0.64384600000000003</v>
      </c>
      <c r="D273" s="4" t="str">
        <f t="shared" si="2"/>
        <v>Above 6.2% is high</v>
      </c>
    </row>
    <row r="275" spans="1:13" x14ac:dyDescent="0.3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</row>
    <row r="276" spans="1:13" x14ac:dyDescent="0.35">
      <c r="A276" s="4" t="s">
        <v>148</v>
      </c>
      <c r="B276" s="4" t="s">
        <v>167</v>
      </c>
    </row>
    <row r="277" spans="1:13" x14ac:dyDescent="0.35">
      <c r="B277" s="6"/>
      <c r="C277" s="8" t="s">
        <v>97</v>
      </c>
    </row>
    <row r="278" spans="1:13" x14ac:dyDescent="0.35">
      <c r="B278" s="28">
        <v>1</v>
      </c>
      <c r="C278" s="29">
        <v>57.167700000000004</v>
      </c>
    </row>
    <row r="279" spans="1:13" x14ac:dyDescent="0.35">
      <c r="B279" s="30">
        <v>2</v>
      </c>
      <c r="C279" s="31">
        <v>71.110699999999994</v>
      </c>
    </row>
    <row r="280" spans="1:13" x14ac:dyDescent="0.35">
      <c r="B280" s="28">
        <v>3</v>
      </c>
      <c r="C280" s="29">
        <v>117.7555</v>
      </c>
    </row>
    <row r="281" spans="1:13" x14ac:dyDescent="0.35">
      <c r="B281" s="30">
        <v>4</v>
      </c>
      <c r="C281" s="31">
        <v>174.09549999999999</v>
      </c>
    </row>
    <row r="282" spans="1:13" x14ac:dyDescent="0.35">
      <c r="B282" s="28" t="s">
        <v>99</v>
      </c>
      <c r="C282" s="29">
        <v>105.03235000000001</v>
      </c>
    </row>
  </sheetData>
  <pageMargins left="0.7" right="0.7" top="0.75" bottom="0.75" header="0.3" footer="0.3"/>
  <pageSetup orientation="portrait" horizontalDpi="4294967293" verticalDpi="0" r:id="rId1"/>
  <drawing r:id="rId2"/>
  <tableParts count="1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A30DD1-DF15-4727-81CE-6BACA76578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New_Wheels_Tables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Bethany Gerlach</dc:creator>
  <cp:lastModifiedBy>Bethany Gerlach</cp:lastModifiedBy>
  <cp:lastPrinted>2024-02-05T01:37:02Z</cp:lastPrinted>
  <dcterms:created xsi:type="dcterms:W3CDTF">2024-01-30T14:09:51Z</dcterms:created>
  <dcterms:modified xsi:type="dcterms:W3CDTF">2024-05-03T17:33:26Z</dcterms:modified>
</cp:coreProperties>
</file>